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 firstSheet="2" activeTab="7"/>
  </bookViews>
  <sheets>
    <sheet name="Customer_Dim" sheetId="1" r:id="rId1"/>
    <sheet name="Product_Dim" sheetId="2" r:id="rId2"/>
    <sheet name="Store_Dim" sheetId="3" r:id="rId3"/>
    <sheet name="Sheet2" sheetId="7" r:id="rId4"/>
    <sheet name="Sales_Fact" sheetId="4" r:id="rId5"/>
    <sheet name="look up sheet" sheetId="5" r:id="rId6"/>
    <sheet name="discriptive statics" sheetId="6" r:id="rId7"/>
    <sheet name="dash board" sheetId="11" r:id="rId8"/>
  </sheets>
  <externalReferences>
    <externalReference r:id="rId9"/>
  </externalReferences>
  <calcPr calcId="144525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B5" i="11" l="1"/>
  <c r="B3" i="11"/>
  <c r="B8" i="6"/>
  <c r="B7" i="6"/>
  <c r="B6" i="6"/>
  <c r="B5" i="6"/>
  <c r="B4" i="6"/>
  <c r="B3" i="6"/>
  <c r="B2" i="6"/>
  <c r="B7" i="5"/>
  <c r="B5" i="5"/>
  <c r="B4" i="5"/>
  <c r="B3" i="5"/>
  <c r="B2" i="5"/>
  <c r="B6" i="5"/>
  <c r="B1" i="5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</calcChain>
</file>

<file path=xl/sharedStrings.xml><?xml version="1.0" encoding="utf-8"?>
<sst xmlns="http://schemas.openxmlformats.org/spreadsheetml/2006/main" count="14180" uniqueCount="4001">
  <si>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</si>
  <si>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</si>
  <si>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</si>
  <si>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</si>
  <si>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</si>
  <si>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</si>
  <si>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</si>
  <si>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</si>
  <si>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</si>
  <si>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</si>
  <si>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</si>
  <si>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</si>
  <si>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</si>
  <si>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</si>
  <si>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</si>
  <si>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</si>
  <si>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</si>
  <si>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</si>
  <si>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</si>
  <si>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</si>
  <si>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</si>
  <si>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</si>
  <si>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</si>
  <si>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</si>
  <si>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</si>
  <si>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</si>
  <si>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</si>
  <si>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</si>
  <si>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</si>
  <si>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</si>
  <si>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</si>
  <si>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</si>
  <si>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</si>
  <si>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</si>
  <si>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</si>
  <si>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</si>
  <si>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</si>
  <si>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</si>
  <si>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</si>
  <si>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</si>
  <si>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</si>
  <si>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</si>
  <si>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</si>
  <si>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</si>
  <si>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</si>
  <si>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</si>
  <si>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</si>
  <si>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</si>
  <si>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</si>
  <si>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</si>
  <si>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</si>
  <si>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</si>
  <si>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</si>
  <si>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</si>
  <si>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</si>
  <si>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</si>
  <si>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</si>
  <si>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</si>
  <si>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</si>
  <si>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</si>
  <si>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</si>
  <si>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</si>
  <si>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</si>
  <si>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</si>
  <si>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</si>
  <si>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</si>
  <si>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</si>
  <si>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</si>
  <si>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</si>
  <si>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</si>
  <si>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</si>
  <si>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</si>
  <si>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</si>
  <si>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</si>
  <si>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</si>
  <si>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</si>
  <si>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</si>
  <si>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</si>
  <si>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</si>
  <si>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</si>
  <si>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</si>
  <si>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</si>
  <si>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</si>
  <si>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</si>
  <si>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</si>
  <si>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</si>
  <si>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</si>
  <si>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</si>
  <si>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</si>
  <si>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</si>
  <si>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</si>
  <si>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</si>
  <si>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</si>
  <si>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</si>
  <si>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</si>
  <si>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</si>
  <si>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</si>
  <si>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</si>
  <si>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</si>
  <si>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</si>
  <si>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</si>
  <si>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</si>
  <si>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</si>
  <si>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</si>
  <si>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</si>
  <si>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</si>
  <si>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</si>
  <si>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</si>
  <si>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</si>
  <si>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</si>
  <si>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</si>
  <si>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</si>
  <si>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</si>
  <si>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</si>
  <si>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</si>
  <si>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</si>
  <si>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</si>
  <si>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</si>
  <si>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</si>
  <si>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</si>
  <si>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</si>
  <si>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</si>
  <si>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</si>
  <si>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</si>
  <si>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</si>
  <si>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</si>
  <si>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</si>
  <si>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</si>
  <si>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</si>
  <si>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</si>
  <si>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</si>
  <si>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</si>
  <si>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</si>
  <si>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</si>
  <si>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</si>
  <si>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</si>
  <si>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</si>
  <si>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</si>
  <si>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</si>
  <si>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</si>
  <si>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</si>
  <si>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</si>
  <si>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</si>
  <si>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</si>
  <si>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</si>
  <si>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</si>
  <si>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</si>
  <si>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</si>
  <si>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</si>
  <si>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</si>
  <si>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</si>
  <si>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</si>
  <si>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</si>
  <si>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</si>
  <si>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</si>
  <si>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</si>
  <si>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</si>
  <si>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</si>
  <si>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</si>
  <si>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</si>
  <si>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</si>
  <si>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</si>
  <si>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</si>
  <si>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</si>
  <si>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</si>
  <si>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</si>
  <si>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</si>
  <si>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</si>
  <si>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</si>
  <si>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</si>
  <si>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</si>
  <si>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</si>
  <si>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</si>
  <si>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</si>
  <si>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</si>
  <si>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</si>
  <si>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</si>
  <si>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</si>
  <si>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</si>
  <si>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</si>
  <si>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</si>
  <si>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</si>
  <si>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</si>
  <si>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</si>
  <si>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</si>
  <si>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</si>
  <si>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</si>
  <si>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</si>
  <si>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</si>
  <si>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</si>
  <si>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</si>
  <si>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</si>
  <si>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</si>
  <si>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</si>
  <si>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</si>
  <si>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</si>
  <si>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</si>
  <si>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</si>
  <si>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</si>
  <si>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</si>
  <si>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</si>
  <si>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</si>
  <si>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</si>
  <si>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</si>
  <si>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</si>
  <si>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</si>
  <si>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</si>
  <si>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</si>
  <si>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</si>
  <si>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</si>
  <si>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</si>
  <si>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</si>
  <si>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</si>
  <si>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</si>
  <si>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</si>
  <si>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</si>
  <si>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</si>
  <si>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</si>
  <si>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</si>
  <si>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</si>
  <si>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</si>
  <si>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</si>
  <si>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</si>
  <si>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</si>
  <si>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</si>
  <si>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</si>
  <si>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</si>
  <si>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</si>
  <si>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</si>
  <si>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</si>
  <si>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</si>
  <si>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</si>
  <si>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</si>
  <si>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</si>
  <si>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</si>
  <si>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</si>
  <si>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</si>
  <si>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</si>
  <si>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</si>
  <si>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</si>
  <si>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</si>
  <si>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</si>
  <si>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</si>
  <si>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</si>
  <si>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</si>
  <si>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</si>
  <si>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</si>
  <si>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</si>
  <si>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</si>
  <si>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</si>
  <si>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</si>
  <si>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</si>
  <si>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</si>
  <si>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</si>
  <si>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</si>
  <si>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</si>
  <si>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</si>
  <si>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</si>
  <si>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</si>
  <si>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</si>
  <si>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</si>
  <si>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</si>
  <si>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</si>
  <si>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</si>
  <si>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</si>
  <si>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</si>
  <si>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</si>
  <si>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</si>
  <si>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</si>
  <si>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</si>
  <si>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</si>
  <si>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</si>
  <si>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</si>
  <si>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</si>
  <si>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</si>
  <si>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</si>
  <si>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</si>
  <si>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</si>
  <si>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</si>
  <si>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</si>
  <si>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</si>
  <si>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</si>
  <si>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</si>
  <si>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</si>
  <si>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</si>
  <si>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</si>
  <si>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</si>
  <si>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</si>
  <si>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</si>
  <si>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</si>
  <si>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</si>
  <si>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</si>
  <si>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</si>
  <si>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</si>
  <si>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</si>
  <si>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</si>
  <si>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</si>
  <si>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</si>
  <si>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</si>
  <si>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</si>
  <si>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</si>
  <si>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</si>
  <si>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</si>
  <si>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</si>
  <si>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</si>
  <si>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</si>
  <si>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</si>
  <si>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</si>
  <si>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</si>
  <si>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</si>
  <si>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</si>
  <si>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</si>
  <si>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</si>
  <si>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</si>
  <si>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</si>
  <si>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</si>
  <si>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</si>
  <si>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</si>
  <si>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</si>
  <si>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</si>
  <si>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</si>
  <si>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</si>
  <si>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</si>
  <si>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</si>
  <si>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</si>
  <si>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</si>
  <si>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</si>
  <si>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</si>
  <si>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</si>
  <si>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</si>
  <si>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</si>
  <si>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</si>
  <si>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</si>
  <si>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</si>
  <si>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</si>
  <si>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</si>
  <si>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</si>
  <si>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</si>
  <si>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</si>
  <si>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</si>
  <si>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</si>
  <si>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</si>
  <si>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</si>
  <si>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</si>
  <si>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</si>
  <si>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</si>
  <si>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</si>
  <si>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</si>
  <si>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</si>
  <si>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</si>
  <si>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</si>
  <si>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</si>
  <si>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</si>
  <si>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</si>
  <si>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</si>
  <si>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</si>
  <si>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</si>
  <si>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</si>
  <si>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</si>
  <si>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</si>
  <si>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</si>
  <si>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</si>
  <si>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</si>
  <si>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</si>
  <si>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</si>
  <si>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</si>
  <si>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</si>
  <si>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</si>
  <si>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</si>
  <si>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</si>
  <si>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</si>
  <si>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</si>
  <si>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</si>
  <si>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</si>
  <si>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</si>
  <si>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</si>
  <si>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</si>
  <si>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</si>
  <si>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</si>
  <si>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</si>
  <si>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</si>
  <si>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</si>
  <si>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</si>
  <si>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</si>
  <si>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</si>
  <si>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</si>
  <si>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</si>
  <si>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</si>
  <si>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</si>
  <si>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</si>
  <si>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</si>
  <si>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</si>
  <si>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</si>
  <si>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</si>
  <si>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</si>
  <si>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</si>
  <si>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</si>
  <si>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</si>
  <si>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</si>
  <si>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</si>
  <si>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</si>
  <si>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</si>
  <si>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</si>
  <si>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</si>
  <si>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</si>
  <si>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</si>
  <si>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</si>
  <si>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</si>
  <si>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</si>
  <si>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</si>
  <si>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</si>
  <si>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</si>
  <si>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</si>
  <si>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</si>
  <si>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</si>
  <si>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</si>
  <si>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</si>
  <si>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</si>
  <si>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</si>
  <si>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</si>
  <si>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</si>
  <si>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</si>
  <si>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</si>
  <si>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</si>
  <si>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</si>
  <si>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</si>
  <si>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</si>
  <si>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</si>
  <si>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</si>
  <si>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</si>
  <si>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</si>
  <si>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</si>
  <si>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</si>
  <si>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</si>
  <si>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</si>
  <si>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</si>
  <si>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</si>
  <si>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</si>
  <si>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</si>
  <si>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</si>
  <si>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</si>
  <si>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</si>
  <si>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</si>
  <si>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</si>
  <si>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</si>
  <si>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</si>
  <si>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</si>
  <si>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</si>
  <si>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</si>
  <si>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</si>
  <si>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</si>
  <si>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</si>
  <si>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</si>
  <si>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</si>
  <si>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</si>
  <si>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</si>
  <si>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</si>
  <si>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</si>
  <si>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</si>
  <si>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</si>
  <si>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</si>
  <si>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</si>
  <si>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</si>
  <si>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</si>
  <si>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</si>
  <si>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</si>
  <si>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</si>
  <si>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</si>
  <si>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</si>
  <si>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</si>
  <si>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</si>
  <si>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</si>
  <si>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</si>
  <si>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</si>
  <si>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</si>
  <si>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</si>
  <si>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</si>
  <si>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</si>
  <si>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</si>
  <si>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</si>
  <si>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</si>
  <si>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</si>
  <si>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</si>
  <si>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</si>
  <si>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</si>
  <si>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</si>
  <si>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</si>
  <si>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</si>
  <si>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</si>
  <si>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</si>
  <si>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</si>
  <si>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</si>
  <si>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</si>
  <si>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</si>
  <si>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</si>
  <si>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</si>
  <si>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</si>
  <si>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</si>
  <si>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</si>
  <si>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</si>
  <si>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</si>
  <si>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</si>
  <si>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</si>
  <si>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</si>
  <si>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</si>
  <si>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</si>
  <si>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</si>
  <si>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</si>
  <si>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</si>
  <si>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</si>
  <si>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</si>
  <si>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</si>
  <si>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</si>
  <si>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</si>
  <si>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</si>
  <si>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</si>
  <si>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</si>
  <si>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</si>
  <si>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</si>
  <si>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</si>
  <si>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</si>
  <si>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</si>
  <si>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</si>
  <si>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</si>
  <si>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</si>
  <si>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</si>
  <si>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</si>
  <si>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</si>
  <si>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</si>
  <si>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</si>
  <si>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</si>
  <si>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</si>
  <si>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</si>
  <si>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</si>
  <si>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</si>
  <si>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</si>
  <si>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</si>
  <si>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</si>
  <si>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</si>
  <si>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</si>
  <si>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</si>
  <si>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</si>
  <si>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</si>
  <si>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</si>
  <si>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</si>
  <si>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</si>
  <si>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</si>
  <si>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</si>
  <si>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</si>
  <si>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</si>
  <si>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</si>
  <si>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</si>
  <si>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</si>
  <si>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</si>
  <si>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</si>
  <si>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</si>
  <si>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</si>
  <si>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</si>
  <si>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</si>
  <si>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</si>
  <si>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</si>
  <si>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</si>
  <si>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</si>
  <si>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</si>
  <si>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</si>
  <si>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</si>
  <si>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</si>
  <si>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</si>
  <si>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</si>
  <si>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</si>
  <si>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</si>
  <si>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</si>
  <si>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</si>
  <si>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</si>
  <si>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</si>
  <si>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</si>
  <si>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</si>
  <si>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</si>
  <si>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</si>
  <si>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</si>
  <si>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</si>
  <si>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</si>
  <si>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</si>
  <si>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</si>
  <si>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</si>
  <si>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</si>
  <si>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</si>
  <si>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</si>
  <si>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</si>
  <si>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</si>
  <si>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</si>
  <si>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</si>
  <si>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</si>
  <si>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</si>
  <si>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</si>
  <si>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</si>
  <si>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</si>
  <si>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</si>
  <si>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</si>
  <si>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</si>
  <si>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</si>
  <si>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</si>
  <si>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</si>
  <si>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</si>
  <si>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</si>
  <si>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</si>
  <si>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</si>
  <si>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</si>
  <si>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</si>
  <si>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</si>
  <si>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</si>
  <si>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</si>
  <si>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</si>
  <si>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</si>
  <si>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</si>
  <si>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</si>
  <si>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</si>
  <si>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</si>
  <si>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</si>
  <si>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</si>
  <si>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</si>
  <si>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</si>
  <si>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</si>
  <si>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</si>
  <si>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</si>
  <si>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</si>
  <si>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</si>
  <si>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</si>
  <si>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</si>
  <si>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</si>
  <si>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</si>
  <si>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</si>
  <si>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</si>
  <si>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</si>
  <si>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</si>
  <si>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</si>
  <si>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</si>
  <si>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</si>
  <si>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</si>
  <si>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</si>
  <si>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</si>
  <si>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</si>
  <si>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</si>
  <si>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</si>
  <si>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</si>
  <si>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</si>
  <si>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</si>
  <si>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</si>
  <si>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</si>
  <si>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</si>
  <si>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</si>
  <si>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</si>
  <si>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</si>
  <si>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</si>
  <si>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</si>
  <si>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</si>
  <si>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</si>
  <si>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</si>
  <si>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</si>
  <si>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</si>
  <si>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</si>
  <si>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</si>
  <si>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</si>
  <si>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</si>
  <si>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</si>
  <si>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</si>
  <si>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</si>
  <si>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</si>
  <si>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</si>
  <si>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</si>
  <si>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</si>
  <si>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</si>
  <si>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</si>
  <si>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</si>
  <si>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</si>
  <si>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</si>
  <si>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</si>
  <si>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</si>
  <si>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</si>
  <si>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</si>
  <si>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</si>
  <si>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</si>
  <si>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</si>
  <si>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</si>
  <si>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</si>
  <si>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</si>
  <si>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</si>
  <si>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</si>
  <si>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</si>
  <si>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</si>
  <si>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</si>
  <si>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</si>
  <si>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</si>
  <si>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</si>
  <si>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</si>
  <si>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</si>
  <si>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</si>
  <si>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</si>
  <si>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</si>
  <si>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</si>
  <si>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</si>
  <si>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</si>
  <si>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</si>
  <si>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</si>
  <si>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</si>
  <si>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</si>
  <si>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</si>
  <si>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</si>
  <si>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</si>
  <si>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</si>
  <si>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</si>
  <si>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</si>
  <si>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</si>
  <si>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</si>
  <si>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</si>
  <si>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</si>
  <si>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</si>
  <si>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</si>
  <si>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</si>
  <si>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</si>
  <si>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</si>
  <si>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</si>
  <si>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</si>
  <si>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</si>
  <si>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</si>
  <si>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</si>
  <si>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</si>
  <si>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</si>
  <si>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</si>
  <si>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</si>
  <si>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</si>
  <si>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</si>
  <si>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</si>
  <si>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</si>
  <si>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</si>
  <si>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</si>
  <si>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</si>
  <si>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</si>
  <si>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</si>
  <si>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</si>
  <si>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</si>
  <si>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</si>
  <si>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</si>
  <si>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</si>
  <si>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</si>
  <si>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</si>
  <si>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</si>
  <si>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</si>
  <si>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</si>
  <si>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</si>
  <si>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</si>
  <si>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</si>
  <si>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</si>
  <si>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</si>
  <si>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</si>
  <si>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</si>
  <si>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</si>
  <si>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</si>
  <si>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</si>
  <si>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</si>
  <si>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</si>
  <si>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</si>
  <si>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</si>
  <si>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</si>
  <si>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</si>
  <si>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</si>
  <si>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</si>
  <si>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</si>
  <si>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</si>
  <si>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</si>
  <si>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</si>
  <si>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</si>
  <si>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</si>
  <si>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</si>
  <si>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</si>
  <si>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</si>
  <si>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</si>
  <si>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</si>
  <si>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</si>
  <si>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</si>
  <si>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</si>
  <si>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</si>
  <si>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</si>
  <si>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</si>
  <si>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</si>
  <si>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</si>
  <si>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</si>
  <si>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</si>
  <si>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</si>
  <si>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</si>
  <si>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</si>
  <si>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</si>
  <si>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</si>
  <si>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</si>
  <si>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</si>
  <si>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</si>
  <si>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</si>
  <si>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</si>
  <si>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</si>
  <si>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</si>
  <si>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</si>
  <si>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</si>
  <si>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</si>
  <si>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</si>
  <si>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</si>
  <si>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</si>
  <si>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</si>
  <si>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</si>
  <si>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</si>
  <si>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</si>
  <si>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</si>
  <si>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</si>
  <si>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</si>
  <si>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</si>
  <si>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</si>
  <si>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</si>
  <si>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</si>
  <si>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</si>
  <si>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</si>
  <si>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</si>
  <si>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</si>
  <si>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</si>
  <si>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</si>
  <si>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</si>
  <si>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</si>
  <si>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</si>
  <si>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</si>
  <si>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</si>
  <si>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</si>
  <si>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</si>
  <si>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</si>
  <si>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</si>
  <si>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</si>
  <si>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</si>
  <si>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</si>
  <si>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</si>
  <si>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</si>
  <si>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</si>
  <si>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</si>
  <si>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</si>
  <si>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</si>
  <si>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</si>
  <si>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</si>
  <si>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</si>
  <si>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</si>
  <si>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</si>
  <si>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</si>
  <si>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</si>
  <si>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</si>
  <si>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</si>
  <si>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</si>
  <si>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</si>
  <si>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</si>
  <si>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</si>
  <si>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</si>
  <si>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</si>
  <si>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</si>
  <si>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</si>
  <si>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</si>
  <si>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</si>
  <si>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</si>
  <si>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</si>
  <si>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</si>
  <si>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</si>
  <si>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</si>
  <si>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</si>
  <si>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</si>
  <si>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</si>
  <si>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</si>
  <si>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</si>
  <si>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</si>
  <si>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</si>
  <si>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</si>
  <si>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</si>
  <si>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</si>
  <si>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</si>
  <si>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</si>
  <si>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</si>
  <si>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</si>
  <si>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</si>
  <si>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</si>
  <si>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</si>
  <si>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</si>
  <si>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</si>
  <si>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</si>
  <si>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</si>
  <si>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</si>
  <si>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</si>
  <si>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</si>
  <si>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</si>
  <si>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</si>
  <si>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</si>
  <si>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</si>
  <si>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</si>
  <si>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</si>
  <si>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</si>
  <si>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</si>
  <si>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</si>
  <si>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</si>
  <si>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</si>
  <si>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</si>
  <si>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</si>
  <si>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</si>
  <si>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</si>
  <si>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</si>
  <si>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</si>
  <si>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</si>
  <si>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</si>
  <si>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</si>
  <si>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</si>
  <si>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</si>
  <si>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</si>
  <si>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</si>
  <si>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</si>
  <si>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</si>
  <si>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</si>
  <si>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</si>
  <si>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</si>
  <si>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</si>
  <si>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</si>
  <si>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</si>
  <si>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</si>
  <si>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</si>
  <si>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</si>
  <si>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</si>
  <si>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</si>
  <si>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</si>
  <si>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</si>
  <si>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</si>
  <si>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</si>
  <si>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</si>
  <si>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</si>
  <si>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</si>
  <si>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</si>
  <si>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</si>
  <si>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</si>
  <si>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</si>
  <si>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</si>
  <si>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</si>
  <si>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</si>
  <si>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</si>
  <si>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</si>
  <si>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</si>
  <si>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</si>
  <si>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</si>
  <si>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</si>
  <si>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</si>
  <si>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</si>
  <si>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</si>
  <si>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</si>
  <si>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</si>
  <si>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</si>
  <si>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</si>
  <si>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</si>
  <si>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</si>
  <si>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</si>
  <si>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</si>
  <si>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</si>
  <si>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</si>
  <si>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</si>
  <si>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</si>
  <si>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</si>
  <si>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</si>
  <si>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</si>
  <si>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</si>
  <si>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</si>
  <si>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</si>
  <si>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</si>
  <si>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</si>
  <si>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</si>
  <si>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</si>
  <si>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</si>
  <si>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</si>
  <si>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</si>
  <si>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</si>
  <si>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</si>
  <si>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</si>
  <si>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</si>
  <si>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</si>
  <si>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</si>
  <si>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</si>
  <si>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</si>
  <si>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</si>
  <si>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</si>
  <si>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</si>
  <si>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</si>
  <si>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</si>
  <si>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</si>
  <si>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</si>
  <si>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</si>
  <si>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</si>
  <si>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</si>
  <si>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</si>
  <si>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</si>
  <si>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</si>
  <si>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</si>
  <si>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</si>
  <si>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</si>
  <si>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</si>
  <si>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</si>
  <si>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</si>
  <si>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</si>
  <si>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</si>
  <si>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</si>
  <si>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</si>
  <si>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</si>
  <si>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</si>
  <si>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</si>
  <si>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</si>
  <si>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</si>
  <si>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</si>
  <si>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</si>
  <si>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</si>
  <si>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</si>
  <si>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</si>
  <si>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</si>
  <si>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</si>
  <si>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</si>
  <si>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</si>
  <si>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</si>
  <si>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</si>
  <si>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</si>
  <si>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</si>
  <si>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</si>
  <si>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</si>
  <si>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</si>
  <si>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</si>
  <si>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</si>
  <si>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</si>
  <si>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</si>
  <si>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</si>
  <si>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</si>
  <si>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</si>
  <si>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</si>
  <si>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</si>
  <si>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</si>
  <si>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</si>
  <si>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</si>
  <si>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</si>
  <si>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</si>
  <si>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</si>
  <si>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</si>
  <si>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</si>
  <si>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</si>
  <si>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</si>
  <si>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</si>
  <si>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</si>
  <si>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</si>
  <si>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</si>
  <si>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</si>
  <si>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</si>
  <si>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</si>
  <si>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</si>
  <si>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</si>
  <si>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</si>
  <si>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</si>
  <si>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</si>
  <si>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</si>
  <si>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</si>
  <si>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</si>
  <si>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</si>
  <si>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</si>
  <si>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</si>
  <si>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</si>
  <si>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</si>
  <si>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</si>
  <si>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</si>
  <si>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</si>
  <si>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</si>
  <si>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</si>
  <si>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</si>
  <si>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</si>
  <si>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</si>
  <si>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</si>
  <si>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</si>
  <si>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</si>
  <si>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</si>
  <si>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</si>
  <si>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</si>
  <si>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</si>
  <si>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</si>
  <si>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</si>
  <si>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</si>
  <si>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</si>
  <si>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</si>
  <si>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</si>
  <si>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</si>
  <si>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</si>
  <si>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</si>
  <si>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</si>
  <si>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</si>
  <si>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</si>
  <si>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</si>
  <si>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</si>
  <si>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</si>
  <si>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</si>
  <si>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</si>
  <si>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</si>
  <si>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</si>
  <si>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</si>
  <si>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</si>
  <si>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</si>
  <si>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</si>
  <si>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</si>
  <si>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</si>
  <si>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</si>
  <si>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</si>
  <si>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</si>
  <si>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</si>
  <si>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</si>
  <si>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</si>
  <si>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</si>
  <si>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</si>
  <si>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</si>
  <si>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</si>
  <si>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</si>
  <si>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</si>
  <si>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</si>
  <si>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</si>
  <si>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</si>
  <si>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</si>
  <si>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</si>
  <si>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</si>
  <si>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</si>
  <si>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</si>
  <si>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</si>
  <si>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</si>
  <si>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</si>
  <si>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</si>
  <si>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</si>
  <si>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</si>
  <si>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</si>
  <si>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</si>
  <si>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</si>
  <si>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</si>
  <si>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</si>
  <si>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</si>
  <si>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</si>
  <si>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</si>
  <si>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</si>
  <si>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</si>
  <si>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</si>
  <si>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</si>
  <si>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</si>
  <si>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</si>
  <si>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</si>
  <si>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</si>
  <si>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</si>
  <si>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</si>
  <si>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</si>
  <si>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</si>
  <si>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</si>
  <si>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</si>
  <si>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</si>
  <si>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</si>
  <si>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</si>
  <si>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</si>
  <si>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</si>
  <si>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</si>
  <si>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</si>
  <si>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</si>
  <si>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</si>
  <si>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</si>
  <si>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</si>
  <si>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</si>
  <si>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</si>
  <si>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</si>
  <si>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</si>
  <si>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</si>
  <si>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</si>
  <si>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</si>
  <si>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</si>
  <si>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</si>
  <si>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</si>
  <si>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</si>
  <si>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</si>
  <si>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</si>
  <si>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</si>
  <si>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</si>
  <si>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</si>
  <si>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</si>
  <si>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</si>
  <si>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</si>
  <si>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</si>
  <si>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</si>
  <si>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</si>
  <si>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</si>
  <si>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</si>
  <si>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</si>
  <si>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</si>
  <si>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</si>
  <si>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</si>
  <si>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</si>
  <si>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</si>
  <si>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</si>
  <si>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</si>
  <si>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</si>
  <si>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</si>
  <si>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</si>
  <si>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</si>
  <si>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</si>
  <si>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</si>
  <si>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</si>
  <si>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</si>
  <si>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</si>
  <si>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</si>
  <si>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</si>
  <si>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</si>
  <si>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</si>
  <si>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</si>
  <si>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</si>
  <si>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</si>
  <si>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</si>
  <si>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</si>
  <si>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</si>
  <si>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</si>
  <si>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</si>
  <si>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</si>
  <si>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</si>
  <si>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</si>
  <si>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</si>
  <si>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</si>
  <si>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</si>
  <si>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</si>
  <si>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</si>
  <si>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</si>
  <si>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</si>
  <si>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</si>
  <si>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</si>
  <si>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</si>
  <si>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</si>
  <si>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</si>
  <si>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</si>
  <si>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</si>
  <si>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</si>
  <si>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</si>
  <si>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</si>
  <si>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</si>
  <si>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</si>
  <si>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</si>
  <si>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</si>
  <si>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</si>
  <si>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</si>
  <si>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</si>
  <si>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</si>
  <si>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</si>
  <si>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</si>
  <si>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</si>
  <si>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</si>
  <si>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</si>
  <si>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</si>
  <si>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</si>
  <si>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</si>
  <si>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</si>
  <si>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</si>
  <si>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</si>
  <si>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</si>
  <si>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</si>
  <si>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</si>
  <si>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</si>
  <si>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</si>
  <si>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</si>
  <si>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</si>
  <si>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</si>
  <si>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</si>
  <si>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</si>
  <si>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</si>
  <si>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</si>
  <si>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</si>
  <si>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</si>
  <si>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</si>
  <si>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</si>
  <si>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</si>
  <si>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</si>
  <si>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</si>
  <si>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</si>
  <si>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</si>
  <si>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</si>
  <si>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</si>
  <si>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</si>
  <si>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</si>
  <si>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</si>
  <si>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</si>
  <si>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</si>
  <si>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</si>
  <si>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</si>
  <si>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</si>
  <si>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</si>
  <si>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</si>
  <si>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</si>
  <si>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</si>
  <si>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</si>
  <si>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</si>
  <si>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</si>
  <si>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</si>
  <si>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</si>
  <si>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</si>
  <si>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</si>
  <si>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</si>
  <si>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</si>
  <si>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</si>
  <si>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</si>
  <si>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</si>
  <si>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</si>
  <si>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</si>
  <si>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</si>
  <si>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</si>
  <si>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</si>
  <si>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</si>
  <si>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</si>
  <si>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</si>
  <si>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</si>
  <si>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</si>
  <si>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</si>
  <si>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</si>
  <si>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</si>
  <si>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</si>
  <si>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</si>
  <si>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</si>
  <si>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</si>
  <si>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</si>
  <si>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</si>
  <si>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</si>
  <si>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</si>
  <si>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</si>
  <si>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</si>
  <si>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</si>
  <si>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</si>
  <si>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</si>
  <si>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</si>
  <si>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</si>
  <si>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</si>
  <si>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</si>
  <si>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</si>
  <si>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</si>
  <si>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</si>
  <si>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</si>
  <si>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</si>
  <si>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</si>
  <si>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</si>
  <si>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</si>
  <si>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</si>
  <si>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</si>
  <si>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</si>
  <si>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</si>
  <si>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</si>
  <si>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</si>
  <si>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</si>
  <si>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</si>
  <si>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</si>
  <si>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</si>
  <si>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</si>
  <si>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</si>
  <si>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</si>
  <si>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</si>
  <si>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</si>
  <si>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</si>
  <si>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</si>
  <si>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</si>
  <si>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</si>
  <si>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</si>
  <si>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</si>
  <si>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</si>
  <si>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</si>
  <si>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</si>
  <si>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</si>
  <si>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</si>
  <si>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</si>
  <si>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</si>
  <si>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</si>
  <si>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</si>
  <si>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</si>
  <si>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</si>
  <si>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</si>
  <si>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</si>
  <si>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</si>
  <si>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</si>
  <si>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</si>
  <si>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</si>
  <si>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</si>
  <si>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</si>
  <si>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</si>
  <si>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</si>
  <si>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</si>
  <si>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</si>
  <si>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</si>
  <si>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</si>
  <si>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</si>
  <si>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</si>
  <si>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</si>
  <si>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</si>
  <si>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</si>
  <si>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</si>
  <si>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</si>
  <si>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</si>
  <si>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</si>
  <si>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</si>
  <si>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</si>
  <si>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</si>
  <si>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</si>
  <si>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</si>
  <si>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</si>
  <si>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</si>
  <si>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</si>
  <si>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</si>
  <si>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</si>
  <si>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</si>
  <si>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</si>
  <si>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</si>
  <si>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</si>
  <si>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</si>
  <si>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</si>
  <si>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</si>
  <si>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</si>
  <si>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</si>
  <si>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</si>
  <si>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</si>
  <si>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</si>
  <si>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</si>
  <si>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</si>
  <si>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</si>
  <si>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</si>
  <si>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</si>
  <si>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</si>
  <si>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</si>
  <si>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</si>
  <si>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</si>
  <si>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</si>
  <si>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</si>
  <si>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</si>
  <si>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</si>
  <si>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</si>
  <si>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</si>
  <si>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</si>
  <si>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</si>
  <si>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</si>
  <si>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</si>
  <si>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</si>
  <si>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</si>
  <si>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</si>
  <si>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</si>
  <si>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</si>
  <si>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</si>
  <si>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</si>
  <si>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</si>
  <si>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</si>
  <si>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</si>
  <si>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</si>
  <si>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</si>
  <si>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</si>
  <si>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</si>
  <si>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</si>
  <si>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</si>
  <si>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</si>
  <si>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</si>
  <si>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</si>
  <si>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</si>
  <si>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</si>
  <si>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</si>
  <si>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</si>
  <si>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</si>
  <si>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</si>
  <si>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</si>
  <si>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</si>
  <si>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</si>
  <si>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</si>
  <si>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</si>
  <si>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</si>
  <si>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</si>
  <si>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</si>
  <si>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</si>
  <si>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</si>
  <si>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</si>
  <si>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</si>
  <si>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</si>
  <si>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</si>
  <si>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</si>
  <si>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</si>
  <si>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</si>
  <si>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</si>
  <si>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</si>
  <si>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</si>
  <si>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</si>
  <si>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</si>
  <si>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</si>
  <si>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</si>
  <si>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</si>
  <si>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</si>
  <si>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</si>
  <si>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</si>
  <si>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</si>
  <si>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</si>
  <si>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</si>
  <si>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</si>
  <si>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</si>
  <si>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</si>
  <si>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</si>
  <si>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</si>
  <si>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</si>
  <si>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</si>
  <si>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</si>
  <si>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</si>
  <si>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</si>
  <si>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</si>
  <si>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</si>
  <si>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</si>
  <si>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</si>
  <si>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</si>
  <si>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</si>
  <si>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</si>
  <si>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</si>
  <si>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</si>
  <si>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</si>
  <si>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</si>
  <si>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</si>
  <si>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</si>
  <si>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</si>
  <si>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</si>
  <si>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</si>
  <si>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</si>
  <si>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</si>
  <si>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</si>
  <si>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</si>
  <si>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</si>
  <si>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</si>
  <si>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</si>
  <si>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</si>
  <si>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</si>
  <si>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</si>
  <si>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</si>
  <si>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</si>
  <si>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</si>
  <si>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</si>
  <si>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</si>
  <si>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</si>
  <si>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</si>
  <si>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</si>
  <si>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</si>
  <si>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</si>
  <si>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</si>
  <si>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</si>
  <si>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</si>
  <si>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</si>
  <si>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</si>
  <si>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</si>
  <si>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</si>
  <si>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</si>
  <si>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</si>
  <si>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</si>
  <si>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</si>
  <si>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</si>
  <si>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</si>
  <si>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</si>
  <si>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</si>
  <si>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</si>
  <si>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</si>
  <si>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</si>
  <si>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</si>
  <si>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</si>
  <si>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</si>
  <si>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</si>
  <si>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</si>
  <si>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</si>
  <si>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</si>
  <si>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</si>
  <si>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</si>
  <si>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</si>
  <si>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</si>
  <si>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</si>
  <si>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</si>
  <si>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</si>
  <si>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</si>
  <si>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</si>
  <si>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</si>
  <si>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</si>
  <si>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</si>
  <si>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</si>
  <si>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</si>
  <si>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</si>
  <si>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</si>
  <si>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</si>
  <si>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</si>
  <si>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</si>
  <si>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</si>
  <si>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</si>
  <si>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</si>
  <si>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</si>
  <si>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</si>
  <si>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</si>
  <si>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</si>
  <si>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</si>
  <si>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</si>
  <si>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</si>
  <si>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</si>
  <si>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</si>
  <si>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</si>
  <si>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</si>
  <si>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</si>
  <si>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</si>
  <si>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</si>
  <si>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</si>
  <si>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</si>
  <si>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</si>
  <si>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</si>
  <si>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</si>
  <si>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</si>
  <si>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</si>
  <si>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</si>
  <si>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</si>
  <si>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</si>
  <si>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</si>
  <si>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</si>
  <si>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</si>
  <si>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</si>
  <si>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</si>
  <si>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</si>
  <si>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</si>
  <si>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</si>
  <si>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</si>
  <si>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</si>
  <si>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</si>
  <si>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</si>
  <si>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</si>
  <si>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</si>
  <si>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</si>
  <si>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</si>
  <si>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</si>
  <si>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</si>
  <si>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</si>
  <si>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</si>
  <si>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</si>
  <si>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</si>
  <si>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</si>
  <si>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</si>
  <si>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</si>
  <si>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</si>
  <si>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</si>
  <si>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</si>
  <si>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</si>
  <si>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</si>
  <si>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</si>
  <si>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</si>
  <si>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</si>
  <si>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</si>
  <si>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</si>
  <si>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</si>
  <si>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</si>
  <si>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</si>
  <si>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</si>
  <si>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</si>
  <si>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</si>
  <si>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</si>
  <si>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</si>
  <si>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</si>
  <si>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</si>
  <si>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</si>
  <si>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</si>
  <si>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</si>
  <si>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</si>
  <si>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</si>
  <si>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</si>
  <si>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</si>
  <si>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</si>
  <si>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</si>
  <si>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</si>
  <si>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</si>
  <si>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</si>
  <si>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</si>
  <si>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</si>
  <si>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</si>
  <si>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</si>
  <si>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</si>
  <si>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</si>
  <si>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</si>
  <si>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</si>
  <si>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</si>
  <si>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</si>
  <si>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</si>
  <si>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</si>
  <si>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</si>
  <si>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</si>
  <si>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</si>
  <si>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</si>
  <si>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</si>
  <si>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</si>
  <si>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</si>
  <si>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</si>
  <si>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</si>
  <si>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</si>
  <si>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</si>
  <si>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</si>
  <si>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</si>
  <si>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</si>
  <si>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</si>
  <si>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</si>
  <si>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</si>
  <si>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</si>
  <si>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</si>
  <si>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</si>
  <si>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</si>
  <si>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</si>
  <si>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</si>
  <si>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</si>
  <si>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</si>
  <si>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</si>
  <si>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</si>
  <si>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</si>
  <si>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</si>
  <si>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</si>
  <si>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</si>
  <si>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</si>
  <si>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</si>
  <si>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</si>
  <si>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</si>
  <si>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</si>
  <si>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</si>
  <si>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</si>
  <si>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</si>
  <si>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</si>
  <si>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</si>
  <si>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</si>
  <si>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</si>
  <si>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</si>
  <si>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</si>
  <si>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</si>
  <si>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</si>
  <si>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</si>
  <si>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</si>
  <si>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</si>
  <si>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</si>
  <si>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</si>
  <si>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</si>
  <si>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</si>
  <si>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</si>
  <si>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</si>
  <si>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</si>
  <si>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</si>
  <si>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</si>
  <si>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</si>
  <si>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</si>
  <si>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</si>
  <si>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</si>
  <si>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</si>
  <si>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</si>
  <si>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</si>
  <si>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</si>
  <si>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</si>
  <si>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</si>
  <si>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</si>
  <si>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</si>
  <si>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</si>
  <si>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</si>
  <si>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</si>
  <si>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</si>
  <si>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</si>
  <si>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</si>
  <si>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</si>
  <si>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</si>
  <si>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</si>
  <si>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</si>
  <si>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</si>
  <si>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</si>
  <si>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</si>
  <si>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</si>
  <si>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</si>
  <si>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</si>
  <si>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</si>
  <si>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</si>
  <si>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</si>
  <si>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</si>
  <si>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</si>
  <si>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</si>
  <si>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</si>
  <si>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</si>
  <si>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</si>
  <si>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</si>
  <si>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</si>
  <si>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</si>
  <si>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</si>
  <si>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</si>
  <si>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</si>
  <si>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</si>
  <si>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</si>
  <si>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</si>
  <si>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</si>
  <si>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</si>
  <si>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</si>
  <si>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</si>
  <si>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</si>
  <si>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</si>
  <si>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</si>
  <si>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</si>
  <si>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</si>
  <si>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</si>
  <si>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</si>
  <si>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</si>
  <si>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</si>
  <si>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</si>
  <si>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</si>
  <si>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</si>
  <si>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</si>
  <si>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</si>
  <si>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</si>
  <si>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</si>
  <si>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</si>
  <si>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</si>
  <si>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</si>
  <si>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</si>
  <si>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</si>
  <si>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</si>
  <si>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</si>
  <si>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</si>
  <si>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</si>
  <si>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</si>
  <si>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</si>
  <si>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</si>
  <si>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</si>
  <si>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</si>
  <si>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</si>
  <si>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</si>
  <si>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</si>
  <si>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</si>
  <si>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</si>
  <si>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</si>
  <si>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</si>
  <si>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</si>
  <si>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</si>
  <si>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</si>
  <si>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</si>
  <si>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</si>
  <si>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</si>
  <si>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</si>
  <si>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</si>
  <si>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</si>
  <si>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</si>
  <si>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</si>
  <si>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</si>
  <si>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</si>
  <si>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</si>
  <si>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</si>
  <si>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</si>
  <si>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</si>
  <si>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</si>
  <si>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</si>
  <si>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</si>
  <si>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</si>
  <si>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</si>
  <si>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</si>
  <si>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</si>
  <si>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</si>
  <si>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</si>
  <si>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</si>
  <si>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</si>
  <si>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</si>
  <si>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</si>
  <si>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</si>
  <si>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</si>
  <si>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</si>
  <si>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</si>
  <si>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</si>
  <si>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</si>
  <si>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</si>
  <si>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</si>
  <si>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</si>
  <si>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</si>
  <si>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</si>
  <si>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</si>
  <si>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</si>
  <si>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</si>
  <si>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</si>
  <si>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</si>
  <si>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</si>
  <si>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</si>
  <si>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</si>
  <si>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</si>
  <si>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</si>
  <si>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</si>
  <si>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</si>
  <si>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</si>
  <si>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</si>
  <si>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</si>
  <si>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</si>
  <si>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</si>
  <si>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</si>
  <si>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</si>
  <si>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</si>
  <si>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</si>
  <si>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</si>
  <si>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</si>
  <si>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</si>
  <si>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</si>
  <si>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</si>
  <si>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</si>
  <si>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</si>
  <si>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</si>
  <si>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</si>
  <si>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</si>
  <si>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</si>
  <si>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</si>
  <si>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</si>
  <si>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</si>
  <si>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</si>
  <si>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</si>
  <si>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</si>
  <si>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</si>
  <si>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</si>
  <si>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</si>
  <si>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</si>
  <si>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</si>
  <si>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</si>
  <si>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</si>
  <si>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</si>
  <si>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</si>
  <si>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</si>
  <si>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</si>
  <si>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</si>
  <si>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</si>
  <si>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</si>
  <si>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</si>
  <si>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</si>
  <si>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</si>
  <si>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</si>
  <si>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</si>
  <si>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</si>
  <si>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</si>
  <si>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</si>
  <si>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</si>
  <si>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</si>
  <si>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</si>
  <si>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</si>
  <si>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</si>
  <si>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</si>
  <si>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</si>
  <si>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</si>
  <si>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</si>
  <si>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</si>
  <si>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</si>
  <si>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</si>
  <si>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</si>
  <si>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</si>
  <si>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</si>
  <si>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</si>
  <si>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</si>
  <si>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</si>
  <si>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</si>
  <si>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</si>
  <si>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</si>
  <si>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</si>
  <si>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</si>
  <si>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</si>
  <si>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</si>
  <si>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</si>
  <si>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</si>
  <si>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</si>
  <si>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</si>
  <si>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</si>
  <si>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</si>
  <si>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</si>
  <si>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</si>
  <si>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</si>
  <si>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</si>
  <si>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</si>
  <si>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</si>
  <si>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</si>
  <si>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</si>
  <si>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</si>
  <si>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</si>
  <si>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</si>
  <si>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</si>
  <si>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</si>
  <si>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</si>
  <si>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</si>
  <si>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</si>
  <si>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</si>
  <si>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</si>
  <si>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</si>
  <si>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</si>
  <si>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</si>
  <si>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</si>
  <si>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</si>
  <si>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</si>
  <si>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</si>
  <si>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</si>
  <si>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</si>
  <si>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</si>
  <si>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</si>
  <si>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</si>
  <si>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</si>
  <si>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</si>
  <si>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</si>
  <si>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</si>
  <si>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</si>
  <si>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</si>
  <si>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</si>
  <si>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</si>
  <si>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</si>
  <si>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</si>
  <si>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</si>
  <si>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</si>
  <si>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</si>
  <si>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</si>
  <si>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</si>
  <si>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</si>
  <si>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</si>
  <si>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</si>
  <si>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</si>
  <si>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</si>
  <si>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</si>
  <si>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</si>
  <si>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</si>
  <si>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</si>
  <si>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</si>
  <si>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</si>
  <si>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</si>
  <si>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</si>
  <si>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</si>
  <si>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</si>
  <si>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</si>
  <si>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</si>
  <si>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</si>
  <si>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</si>
  <si>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</si>
  <si>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</si>
  <si>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</si>
  <si>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</si>
  <si>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</si>
  <si>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</si>
  <si>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</si>
  <si>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</si>
  <si>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</si>
  <si>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</si>
  <si>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</si>
  <si>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</si>
  <si>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</si>
  <si>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</si>
  <si>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</si>
  <si>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</si>
  <si>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</si>
  <si>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</si>
  <si>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</si>
  <si>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</si>
  <si>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</si>
  <si>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</si>
  <si>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</si>
  <si>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</si>
  <si>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</si>
  <si>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</si>
  <si>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</si>
  <si>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</si>
  <si>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</si>
  <si>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</si>
  <si>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</si>
  <si>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</si>
  <si>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</si>
  <si>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</si>
  <si>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</si>
  <si>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</si>
  <si>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</si>
  <si>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</si>
  <si>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</si>
  <si>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</si>
  <si>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</si>
  <si>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</si>
  <si>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</si>
  <si>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</si>
  <si>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</si>
  <si>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</si>
  <si>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</si>
  <si>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</si>
  <si>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</si>
  <si>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</si>
  <si>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</si>
  <si>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</si>
  <si>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</si>
  <si>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</si>
  <si>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</si>
  <si>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</si>
  <si>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</si>
  <si>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</si>
  <si>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</si>
  <si>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</si>
  <si>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</si>
  <si>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</si>
  <si>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</si>
  <si>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</si>
  <si>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</si>
  <si>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</si>
  <si>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</si>
  <si>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</si>
  <si>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</si>
  <si>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</si>
  <si>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</si>
  <si>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</si>
  <si>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</si>
  <si>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</si>
  <si>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</si>
  <si>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</si>
  <si>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</si>
  <si>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</si>
  <si>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</si>
  <si>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</si>
  <si>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</si>
  <si>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</si>
  <si>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</si>
  <si>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</si>
  <si>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</si>
  <si>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</si>
  <si>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</si>
  <si>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</si>
  <si>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</si>
  <si>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</si>
  <si>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</si>
  <si>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</si>
  <si>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</si>
  <si>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</si>
  <si>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</si>
  <si>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</si>
  <si>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</si>
  <si>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</si>
  <si>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</si>
  <si>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</si>
  <si>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</si>
  <si>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</si>
  <si>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</si>
  <si>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</si>
  <si>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</si>
  <si>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</si>
  <si>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</si>
  <si>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</si>
  <si>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</si>
  <si>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</si>
  <si>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</si>
  <si>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</si>
  <si>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</si>
  <si>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</si>
  <si>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</si>
  <si>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</si>
  <si>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</si>
  <si>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</si>
  <si>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</si>
  <si>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</si>
  <si>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</si>
  <si>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</si>
  <si>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</si>
  <si>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</si>
  <si>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</si>
  <si>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</si>
  <si>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</si>
  <si>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</si>
  <si>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</si>
  <si>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</si>
  <si>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</si>
  <si>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</si>
  <si>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</si>
  <si>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</si>
  <si>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</si>
  <si>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</si>
  <si>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</si>
  <si>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</si>
  <si>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</si>
  <si>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</si>
  <si>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</si>
  <si>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</si>
  <si>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</si>
  <si>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</si>
  <si>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</si>
  <si>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</si>
  <si>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</si>
  <si>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</si>
  <si>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</si>
  <si>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</si>
  <si>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</si>
  <si>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</si>
  <si>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</si>
  <si>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</si>
  <si>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</si>
  <si>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</si>
  <si>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</si>
  <si>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</si>
  <si>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</si>
  <si>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</si>
  <si>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</si>
  <si>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</si>
  <si>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</si>
  <si>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</si>
  <si>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</si>
  <si>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</si>
  <si>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</si>
  <si>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</si>
  <si>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</si>
  <si>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</si>
  <si>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</si>
  <si>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</si>
  <si>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</si>
  <si>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</si>
  <si>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</si>
  <si>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</si>
  <si>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</si>
  <si>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</si>
  <si>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</si>
  <si>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</si>
  <si>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</si>
  <si>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</si>
  <si>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</si>
  <si>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</si>
  <si>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</si>
  <si>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</si>
  <si>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</si>
  <si>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</si>
  <si>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</si>
  <si>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</si>
  <si>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</si>
  <si>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</si>
  <si>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</si>
  <si>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</si>
  <si>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</si>
  <si>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</si>
  <si>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</si>
  <si>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</si>
  <si>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</si>
  <si>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</si>
  <si>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</si>
  <si>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</si>
  <si>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</si>
  <si>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</si>
  <si>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</si>
  <si>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</si>
  <si>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</si>
  <si>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</si>
  <si>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</si>
  <si>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</si>
  <si>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</si>
  <si>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</si>
  <si>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</si>
  <si>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</si>
  <si>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</si>
  <si>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</si>
  <si>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</si>
  <si>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</si>
  <si>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</si>
  <si>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</si>
  <si>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</si>
  <si>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</si>
  <si>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</si>
  <si>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</si>
  <si>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</si>
  <si>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</si>
  <si>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</si>
  <si>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</si>
  <si>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</si>
  <si>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</si>
  <si>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</si>
  <si>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</si>
  <si>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</si>
  <si>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</si>
  <si>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</si>
  <si>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</si>
  <si>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</si>
  <si>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</si>
  <si>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</si>
  <si>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</si>
  <si>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</si>
  <si>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</si>
  <si>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</si>
  <si>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</si>
  <si>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</si>
  <si>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</si>
  <si>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</si>
  <si>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</si>
  <si>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</si>
  <si>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</si>
  <si>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</si>
  <si>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</si>
  <si>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</si>
  <si>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</si>
  <si>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</si>
  <si>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</si>
  <si>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</si>
  <si>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</si>
  <si>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</si>
  <si>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</si>
  <si>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</si>
  <si>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</si>
  <si>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</si>
  <si>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</si>
  <si>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</si>
  <si>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</si>
  <si>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</si>
  <si>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</si>
  <si>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</si>
  <si>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</si>
  <si>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</si>
  <si>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</si>
  <si>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</si>
  <si>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</si>
  <si>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</si>
  <si>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</si>
  <si>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</si>
  <si>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</si>
  <si>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</si>
  <si>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</si>
  <si>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</si>
  <si>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</si>
  <si>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</si>
  <si>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</si>
  <si>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</si>
  <si>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</si>
  <si>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</si>
  <si>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</si>
  <si>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</si>
  <si>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</si>
  <si>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</si>
  <si>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</si>
  <si>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</si>
  <si>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</si>
  <si>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</si>
  <si>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</si>
  <si>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</si>
  <si>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</si>
  <si>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</si>
  <si>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</si>
  <si>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</si>
  <si>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</si>
  <si>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</si>
  <si>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</si>
  <si>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</si>
  <si>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</si>
  <si>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</si>
  <si>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</si>
  <si>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</si>
  <si>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</si>
  <si>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</si>
  <si>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</si>
  <si>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</si>
  <si>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</si>
  <si>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</si>
  <si>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</si>
  <si>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</si>
  <si>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</si>
  <si>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</si>
  <si>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</si>
  <si>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</si>
  <si>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</si>
  <si>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</si>
  <si>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</si>
  <si>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</si>
  <si>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</si>
  <si>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</si>
  <si>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</si>
  <si>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</si>
  <si>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</si>
  <si>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</si>
  <si>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</si>
  <si>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</si>
  <si>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</si>
  <si>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</si>
  <si>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</si>
  <si>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</si>
  <si>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</si>
  <si>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</si>
  <si>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</si>
  <si>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</si>
  <si>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</si>
  <si>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</si>
  <si>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</si>
  <si>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</si>
  <si>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</si>
  <si>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</si>
  <si>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</si>
  <si>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</si>
  <si>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</si>
  <si>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</si>
  <si>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</si>
  <si>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</si>
  <si>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</si>
  <si>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</si>
  <si>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</si>
  <si>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</si>
  <si>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</si>
  <si>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</si>
  <si>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</si>
  <si>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</si>
  <si>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</si>
  <si>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</si>
  <si>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</si>
  <si>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</si>
  <si>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</si>
  <si>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</si>
  <si>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</si>
  <si>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</si>
  <si>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</si>
  <si>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</si>
  <si>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</si>
  <si>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</si>
  <si>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</si>
  <si>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</si>
  <si>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</si>
  <si>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</si>
  <si>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</si>
  <si>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</si>
  <si>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</si>
  <si>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</si>
  <si>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</si>
  <si>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</si>
  <si>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</si>
  <si>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</si>
  <si>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</si>
  <si>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</si>
  <si>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</si>
  <si>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</si>
  <si>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</si>
  <si>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</si>
  <si>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</si>
  <si>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</si>
  <si>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</si>
  <si>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</si>
  <si>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</si>
  <si>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</si>
  <si>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</si>
  <si>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</si>
  <si>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</si>
  <si>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</si>
  <si>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</si>
  <si>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</si>
  <si>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</si>
  <si>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</si>
  <si>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</si>
  <si>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</si>
  <si>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</si>
  <si>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</si>
  <si>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</si>
  <si>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</si>
  <si>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</si>
  <si>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</si>
  <si>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</si>
  <si>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</si>
  <si>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</si>
  <si>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</si>
  <si>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</si>
  <si>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</si>
  <si>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</si>
  <si>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</si>
  <si>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</si>
  <si>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</si>
  <si>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</si>
  <si>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</si>
  <si>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</si>
  <si>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</si>
  <si>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</si>
  <si>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</si>
  <si>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</si>
  <si>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</si>
  <si>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</si>
  <si>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</si>
  <si>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</si>
  <si>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</si>
  <si>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</si>
  <si>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</si>
  <si>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</si>
  <si>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</si>
  <si>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</si>
  <si>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</si>
  <si>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</si>
  <si>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</si>
  <si>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</si>
  <si>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</si>
  <si>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</si>
  <si>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</si>
  <si>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</si>
  <si>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</si>
  <si>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</si>
  <si>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</si>
  <si>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</si>
  <si>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</si>
  <si>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</si>
  <si>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</si>
  <si>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</si>
  <si>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</si>
  <si>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</si>
  <si>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</si>
  <si>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</si>
  <si>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</si>
  <si>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</si>
  <si>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</si>
  <si>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</si>
  <si>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</si>
  <si>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</si>
  <si>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</si>
  <si>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</si>
  <si>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</si>
  <si>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</si>
  <si>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</si>
  <si>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</si>
  <si>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</si>
  <si>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</si>
  <si>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</si>
  <si>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</si>
  <si>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</si>
  <si>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</si>
  <si>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</si>
  <si>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</si>
  <si>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</si>
  <si>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</si>
  <si>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</si>
  <si>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</si>
  <si>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</si>
  <si>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</si>
  <si>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</si>
  <si>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</si>
  <si>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</si>
  <si>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</si>
  <si>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</si>
  <si>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</si>
  <si>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</si>
  <si>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</si>
  <si>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</si>
  <si>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</si>
  <si>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</si>
  <si>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</si>
  <si>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</si>
  <si>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</si>
  <si>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</si>
  <si>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</si>
  <si>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</si>
  <si>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</si>
  <si>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</si>
  <si>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</si>
  <si>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</si>
  <si>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</si>
  <si>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</si>
  <si>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</si>
  <si>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</si>
  <si>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</si>
  <si>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</si>
  <si>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</si>
  <si>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</si>
  <si>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</si>
  <si>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</si>
  <si>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</si>
  <si>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</si>
  <si>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</si>
  <si>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</si>
  <si>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</si>
  <si>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</si>
  <si>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</si>
  <si>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</si>
  <si>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</si>
  <si>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</si>
  <si>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</si>
  <si>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</si>
  <si>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</si>
  <si>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</si>
  <si>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</si>
  <si>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</si>
  <si>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</si>
  <si>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</si>
  <si>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</si>
  <si>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</si>
  <si>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</si>
  <si>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</si>
  <si>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</si>
  <si>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</si>
  <si>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</si>
  <si>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</si>
  <si>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</si>
  <si>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</si>
  <si>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</si>
  <si>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</si>
  <si>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</si>
  <si>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</si>
  <si>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</si>
  <si>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</si>
  <si>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</si>
  <si>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</si>
  <si>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</si>
  <si>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</si>
  <si>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</si>
  <si>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</si>
  <si>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</si>
  <si>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</si>
  <si>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</si>
  <si>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</si>
  <si>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</si>
  <si>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</si>
  <si>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</si>
  <si>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</si>
  <si>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</si>
  <si>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</si>
  <si>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</si>
  <si>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</si>
  <si>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</si>
  <si>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</si>
  <si>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</si>
  <si>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</si>
  <si>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</si>
  <si>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</si>
  <si>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</si>
  <si>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</si>
  <si>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</si>
  <si>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</si>
  <si>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</si>
  <si>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</si>
  <si>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</si>
  <si>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</si>
  <si>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</si>
  <si>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</si>
  <si>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</si>
  <si>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</si>
  <si>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</si>
  <si>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</si>
  <si>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</si>
  <si>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</si>
  <si>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</si>
  <si>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</si>
  <si>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</si>
  <si>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</si>
  <si>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</si>
  <si>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</si>
  <si>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</si>
  <si>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</si>
  <si>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</si>
  <si>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</si>
  <si>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</si>
  <si>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</si>
  <si>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</si>
  <si>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</si>
  <si>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</si>
  <si>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</si>
  <si>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</si>
  <si>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</si>
  <si>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</si>
  <si>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</si>
  <si>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</si>
  <si>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</si>
  <si>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</si>
  <si>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</si>
  <si>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</si>
  <si>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</si>
  <si>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</si>
  <si>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</si>
  <si>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</si>
  <si>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</si>
  <si>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</si>
  <si>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</si>
  <si>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</si>
  <si>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</si>
  <si>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</si>
  <si>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</si>
  <si>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</si>
  <si>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</si>
  <si>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</si>
  <si>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</si>
  <si>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</si>
  <si>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</si>
  <si>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</si>
  <si>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</si>
  <si>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</si>
  <si>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</si>
  <si>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</si>
  <si>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</si>
  <si>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</si>
  <si>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</si>
  <si>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</si>
  <si>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</si>
  <si>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</si>
  <si>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</si>
  <si>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</si>
  <si>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</si>
  <si>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</si>
  <si>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</si>
  <si>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</si>
  <si>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</si>
  <si>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</si>
  <si>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</si>
  <si>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</si>
  <si>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</si>
  <si>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</si>
  <si>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</si>
  <si>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</si>
  <si>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</si>
  <si>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</si>
  <si>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</si>
  <si>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</si>
  <si>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</si>
  <si>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</si>
  <si>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</si>
  <si>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</si>
  <si>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</si>
  <si>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</si>
  <si>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</si>
  <si>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</si>
  <si>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</si>
  <si>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</si>
  <si>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</si>
  <si>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</si>
  <si>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</si>
  <si>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</si>
  <si>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</si>
  <si>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</si>
  <si>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</si>
  <si>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</si>
  <si>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</si>
  <si>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</si>
  <si>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</si>
  <si>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</si>
  <si>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</si>
  <si>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</si>
  <si>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</si>
  <si>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</si>
  <si>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</si>
  <si>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</si>
  <si>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</si>
  <si>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</si>
  <si>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</si>
  <si>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</si>
  <si>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</si>
  <si>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</si>
  <si>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</si>
  <si>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</si>
  <si>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</si>
  <si>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</si>
  <si>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</si>
  <si>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</si>
  <si>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</si>
  <si>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</si>
  <si>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</si>
  <si>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</si>
  <si>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</si>
  <si>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</si>
  <si>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</si>
  <si>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</si>
  <si>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</si>
  <si>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</si>
  <si>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</si>
  <si>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</si>
  <si>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</si>
  <si>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</si>
  <si>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</si>
  <si>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</si>
  <si>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</si>
  <si>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</si>
  <si>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</si>
  <si>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</si>
  <si>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</si>
  <si>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</si>
  <si>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</si>
  <si>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</si>
  <si>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</si>
  <si>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</si>
  <si>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</si>
  <si>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</si>
  <si>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</si>
  <si>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</si>
  <si>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</si>
  <si>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</si>
  <si>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</si>
  <si>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</si>
  <si>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</si>
  <si>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</si>
  <si>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</si>
  <si>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</si>
  <si>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</si>
  <si>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</si>
  <si>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</si>
  <si>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</si>
  <si>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</si>
  <si>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</si>
  <si>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</si>
  <si>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</si>
  <si>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</si>
  <si>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</si>
  <si>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</si>
  <si>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</si>
  <si>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</si>
  <si>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</si>
  <si>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</si>
  <si>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</si>
  <si>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</si>
  <si>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</si>
  <si>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</si>
  <si>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</si>
  <si>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</si>
  <si>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</si>
  <si>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</si>
  <si>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</si>
  <si>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</si>
  <si>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</si>
  <si>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</si>
  <si>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</si>
  <si>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</si>
  <si>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</si>
  <si>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</si>
  <si>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</si>
  <si>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</si>
  <si>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</si>
  <si>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</si>
  <si>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</si>
  <si>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</si>
  <si>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</si>
  <si>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</si>
  <si>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</si>
  <si>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</si>
  <si>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</si>
  <si>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</si>
  <si>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</si>
  <si>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</si>
  <si>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</si>
  <si>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</si>
  <si>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</si>
  <si>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</si>
  <si>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</si>
  <si>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</si>
  <si>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</si>
  <si>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</si>
  <si>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</si>
  <si>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</si>
  <si>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</si>
  <si>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</si>
  <si>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</si>
  <si>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</si>
  <si>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</si>
  <si>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</si>
  <si>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</si>
  <si>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</si>
  <si>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</si>
  <si>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</si>
  <si>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</si>
  <si>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</si>
  <si>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</si>
  <si>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</si>
  <si>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</si>
  <si>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</si>
  <si>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</si>
  <si>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</si>
  <si>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</si>
  <si>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</si>
  <si>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</si>
  <si>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</si>
  <si>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</si>
  <si>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</si>
  <si>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</si>
  <si>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</si>
  <si>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</si>
  <si>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</si>
  <si>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</si>
  <si>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</si>
  <si>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</si>
  <si>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</si>
  <si>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</si>
  <si>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</si>
  <si>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</si>
  <si>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</si>
  <si>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</si>
  <si>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</si>
  <si>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</si>
  <si>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</si>
  <si>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</si>
  <si>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</si>
  <si>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</si>
  <si>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</si>
  <si>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</si>
  <si>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</si>
  <si>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</si>
  <si>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</si>
  <si>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</si>
  <si>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</si>
  <si>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</si>
  <si>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</si>
  <si>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</si>
  <si>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</si>
  <si>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</si>
  <si>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</si>
  <si>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</si>
  <si>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</si>
  <si>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</si>
  <si>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</si>
  <si>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</si>
  <si>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</si>
  <si>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</si>
  <si>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</si>
  <si>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</si>
  <si>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</si>
  <si>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</si>
  <si>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</si>
  <si>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</si>
  <si>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</si>
  <si>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</si>
  <si>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</si>
  <si>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</si>
  <si>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</si>
  <si>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</si>
  <si>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</si>
  <si>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</si>
  <si>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</si>
  <si>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</si>
  <si>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</si>
  <si>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</si>
  <si>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</si>
  <si>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</si>
  <si>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</si>
  <si>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</si>
  <si>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</si>
  <si>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</si>
  <si>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</si>
  <si>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</si>
  <si>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</si>
  <si>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</si>
  <si>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</si>
  <si>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</si>
  <si>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</si>
  <si>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</si>
  <si>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</si>
  <si>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</si>
  <si>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</si>
  <si>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</si>
  <si>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</si>
  <si>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</si>
  <si>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</si>
  <si>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</si>
  <si>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</si>
  <si>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</si>
  <si>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</si>
  <si>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</si>
  <si>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</si>
  <si>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</si>
  <si>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</si>
  <si>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</si>
  <si>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</si>
  <si>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</si>
  <si>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</si>
  <si>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</si>
  <si>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</si>
  <si>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</si>
  <si>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</si>
  <si>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</si>
  <si>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</si>
  <si>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</si>
  <si>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</si>
  <si>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</si>
  <si>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</si>
  <si>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</si>
  <si>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</si>
  <si>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</si>
  <si>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</si>
  <si>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</si>
  <si>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</si>
  <si>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</si>
  <si>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</si>
  <si>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</si>
  <si>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</si>
  <si>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</si>
  <si>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</si>
  <si>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</si>
  <si>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</si>
  <si>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</si>
  <si>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</si>
  <si>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</si>
  <si>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</si>
  <si>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</si>
  <si>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</si>
  <si>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</si>
  <si>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</si>
  <si>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</si>
  <si>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</si>
  <si>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</si>
  <si>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</si>
  <si>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</si>
  <si>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</si>
  <si>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</si>
  <si>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</si>
  <si>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</si>
  <si>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</si>
  <si>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</si>
  <si>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</si>
  <si>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</si>
  <si>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</si>
  <si>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</si>
  <si>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</si>
  <si>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</si>
  <si>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</si>
  <si>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</si>
  <si>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</si>
  <si>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</si>
  <si>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</si>
  <si>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</si>
  <si>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</si>
  <si>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</si>
  <si>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</si>
  <si>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</si>
  <si>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</si>
  <si>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</si>
  <si>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</si>
  <si>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</si>
  <si>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</si>
  <si>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</si>
  <si>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</si>
  <si>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</si>
  <si>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</si>
  <si>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</si>
  <si>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</si>
  <si>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</si>
  <si>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</si>
  <si>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</si>
  <si>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</si>
  <si>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</si>
  <si>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</si>
  <si>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</si>
  <si>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</si>
  <si>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</si>
  <si>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</si>
  <si>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</si>
  <si>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</si>
  <si>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</si>
  <si>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</si>
  <si>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</si>
  <si>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</si>
  <si>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</si>
  <si>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</si>
  <si>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</si>
  <si>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</si>
  <si>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</si>
  <si>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</si>
  <si>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</si>
  <si>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</si>
  <si>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</si>
  <si>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</si>
  <si>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</si>
  <si>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</si>
  <si>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</si>
  <si>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</si>
  <si>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</si>
  <si>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</si>
  <si>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</si>
  <si>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</si>
  <si>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</si>
  <si>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</si>
  <si>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</si>
  <si>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</si>
  <si>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</si>
  <si>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</si>
  <si>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</si>
  <si>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</si>
  <si>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</si>
  <si>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</si>
  <si>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</si>
  <si>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</si>
  <si>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</si>
  <si>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</si>
  <si>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</si>
  <si>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</si>
  <si>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</si>
  <si>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</si>
  <si>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</si>
  <si>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</si>
  <si>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</si>
  <si>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</si>
  <si>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</si>
  <si>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</si>
  <si>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</si>
  <si>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</si>
  <si>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</si>
  <si>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</si>
  <si>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</si>
  <si>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</si>
  <si>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</si>
  <si>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</si>
  <si>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</si>
  <si>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</si>
  <si>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</si>
  <si>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</si>
  <si>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</si>
  <si>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</si>
  <si>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</si>
  <si>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</si>
  <si>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</si>
  <si>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</si>
  <si>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</si>
  <si>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</si>
  <si>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</si>
  <si>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</si>
  <si>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</si>
  <si>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</si>
  <si>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</si>
  <si>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</si>
  <si>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</si>
  <si>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</si>
  <si>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</si>
  <si>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</si>
  <si>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</si>
  <si>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</si>
  <si>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</si>
  <si>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</si>
  <si>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</si>
  <si>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</si>
  <si>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</si>
  <si>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</si>
  <si>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</si>
  <si>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</si>
  <si>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</si>
  <si>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</si>
  <si>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</si>
  <si>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</si>
  <si>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</si>
  <si>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</si>
  <si>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</si>
  <si>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</si>
  <si>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</si>
  <si>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</si>
  <si>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</si>
  <si>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</si>
  <si>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</si>
  <si>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</si>
  <si>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</si>
  <si>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</si>
  <si>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</si>
  <si>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</si>
  <si>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</si>
  <si>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</si>
  <si>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</si>
  <si>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</si>
  <si>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</si>
  <si>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</si>
  <si>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</si>
  <si>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</si>
  <si>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</si>
  <si>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</si>
  <si>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</si>
  <si>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</si>
  <si>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</si>
  <si>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</si>
  <si>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</si>
  <si>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</si>
  <si>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</si>
  <si>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</si>
  <si>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</si>
  <si>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</si>
  <si>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</si>
  <si>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</si>
  <si>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</si>
  <si>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</si>
  <si>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</si>
  <si>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</si>
  <si>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</si>
  <si>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</si>
  <si>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</si>
  <si>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</si>
  <si>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</si>
  <si>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</si>
  <si>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</si>
  <si>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</si>
  <si>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</si>
  <si>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</si>
  <si>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</si>
  <si>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</si>
  <si>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</si>
  <si>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</si>
  <si>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</si>
  <si>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</si>
  <si>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</si>
  <si>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</si>
  <si>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</si>
  <si>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</si>
  <si>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</si>
  <si>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</si>
  <si>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</si>
  <si>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</si>
  <si>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</si>
  <si>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</si>
  <si>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</si>
  <si>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</si>
  <si>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</si>
  <si>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</si>
  <si>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</si>
  <si>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</si>
  <si>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</si>
  <si>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</si>
  <si>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</si>
  <si>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</si>
  <si>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</si>
  <si>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</si>
  <si>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</si>
  <si>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</si>
  <si>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</si>
  <si>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</si>
  <si>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</si>
  <si>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</si>
  <si>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</si>
  <si>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</si>
  <si>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</si>
  <si>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</si>
  <si>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</si>
  <si>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</si>
  <si>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</si>
  <si>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</si>
  <si>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</si>
  <si>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</si>
  <si>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</si>
  <si>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</si>
  <si>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</si>
  <si>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</si>
  <si>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</si>
  <si>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</si>
  <si>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</si>
  <si>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</si>
  <si>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</si>
  <si>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</si>
  <si>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</si>
  <si>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</si>
  <si>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</si>
  <si>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</si>
  <si>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</si>
  <si>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</si>
  <si>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</si>
  <si>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</si>
  <si>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</si>
  <si>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</si>
  <si>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</si>
  <si>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</si>
  <si>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</si>
  <si>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</si>
  <si>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</si>
  <si>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</si>
  <si>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</si>
  <si>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</si>
  <si>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</si>
  <si>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</si>
  <si>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</si>
  <si>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</si>
  <si>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</si>
  <si>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</si>
  <si>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</si>
  <si>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</si>
  <si>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</si>
  <si>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</si>
  <si>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</si>
  <si>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</si>
  <si>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</si>
  <si>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</si>
  <si>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</si>
  <si>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</si>
  <si>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</si>
  <si>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</si>
  <si>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</si>
  <si>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</si>
  <si>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</si>
  <si>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</si>
  <si>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</si>
  <si>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</si>
  <si>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</si>
  <si>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</si>
  <si>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</si>
  <si>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</si>
  <si>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</si>
  <si>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</si>
  <si>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</si>
  <si>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</si>
  <si>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</si>
  <si>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</si>
  <si>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</si>
  <si>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</si>
  <si>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</si>
  <si>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</si>
  <si>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</si>
  <si>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</si>
  <si>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</si>
  <si>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</si>
  <si>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</si>
  <si>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</si>
  <si>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</si>
  <si>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</si>
  <si>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</si>
  <si>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</si>
  <si>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</si>
  <si>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</si>
  <si>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</si>
  <si>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</si>
  <si>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</si>
  <si>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</si>
  <si>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</si>
  <si>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</si>
  <si>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</si>
  <si>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</si>
  <si>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</si>
  <si>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</si>
  <si>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</si>
  <si>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</si>
  <si>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</si>
  <si>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</si>
  <si>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</si>
  <si>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</si>
  <si>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</si>
  <si>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</si>
  <si>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</si>
  <si>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</si>
  <si>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</si>
  <si>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</si>
  <si>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</si>
  <si>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</si>
  <si>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</si>
  <si>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</si>
  <si>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</si>
  <si>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</si>
  <si>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</si>
  <si>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</si>
  <si>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</si>
  <si>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</si>
  <si>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</si>
  <si>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</si>
  <si>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</si>
  <si>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</si>
  <si>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</si>
  <si>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</si>
  <si>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</si>
  <si>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</si>
  <si>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</si>
  <si>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</si>
  <si>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</si>
  <si>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</si>
  <si>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</si>
  <si>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</si>
  <si>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</si>
  <si>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</si>
  <si>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</si>
  <si>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</si>
  <si>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</si>
  <si>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</si>
  <si>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</si>
  <si>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</si>
  <si>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</si>
  <si>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</si>
  <si>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</si>
  <si>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</si>
  <si>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</si>
  <si>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</si>
  <si>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</si>
  <si>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</si>
  <si>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</si>
  <si>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</si>
  <si>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</si>
  <si>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</si>
  <si>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</si>
  <si>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</si>
  <si>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</si>
  <si>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</si>
  <si>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</si>
  <si>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</si>
  <si>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</si>
  <si>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</si>
  <si>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</si>
  <si>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</si>
  <si>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</si>
  <si>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</si>
  <si>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</si>
  <si>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</si>
  <si>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</si>
  <si>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</si>
  <si>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</si>
  <si>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</si>
  <si>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</si>
  <si>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</si>
  <si>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</si>
  <si>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</si>
  <si>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</si>
  <si>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</si>
  <si>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</si>
  <si>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</si>
  <si>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</si>
  <si>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</si>
  <si>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</si>
  <si>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</si>
  <si>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</si>
  <si>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</si>
  <si>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</si>
  <si>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</si>
  <si>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</si>
  <si>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</si>
  <si>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</si>
  <si>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</si>
  <si>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</si>
  <si>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</si>
  <si>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</si>
  <si>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</si>
  <si>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</si>
  <si>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</si>
  <si>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</si>
  <si>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</si>
  <si>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</si>
  <si>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</si>
  <si>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</si>
  <si>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</si>
  <si>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</si>
  <si>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</si>
  <si>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</si>
  <si>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</si>
  <si>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</si>
  <si>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</si>
  <si>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</si>
  <si>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</si>
  <si>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</si>
  <si>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</si>
  <si>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</si>
  <si>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</si>
  <si>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</si>
  <si>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</si>
  <si>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</si>
  <si>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</si>
  <si>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</si>
  <si>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</si>
  <si>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</si>
  <si>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</si>
  <si>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</si>
  <si>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</si>
  <si>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</si>
  <si>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</si>
  <si>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</si>
  <si>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</si>
  <si>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</si>
  <si>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</si>
  <si>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</si>
  <si>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</si>
  <si>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</si>
  <si>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</si>
  <si>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</si>
  <si>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</si>
  <si>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</si>
  <si>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</si>
  <si>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</si>
  <si>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</si>
  <si>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</si>
  <si>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</si>
  <si>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</si>
  <si>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</si>
  <si>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</si>
  <si>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</si>
  <si>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</si>
  <si>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</si>
  <si>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</si>
  <si>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</si>
  <si>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</si>
  <si>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</si>
  <si>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</si>
  <si>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</si>
  <si>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</si>
  <si>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</si>
  <si>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</si>
  <si>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</si>
  <si>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</si>
  <si>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</si>
  <si>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</si>
  <si>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</si>
  <si>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</si>
  <si>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</si>
  <si>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</si>
  <si>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</si>
  <si>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</si>
  <si>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</si>
  <si>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</si>
  <si>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</si>
  <si>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</si>
  <si>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</si>
  <si>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</si>
  <si>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</si>
  <si>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</si>
  <si>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</si>
  <si>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</si>
  <si>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</si>
  <si>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</si>
  <si>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</si>
  <si>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</si>
  <si>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</si>
  <si>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</si>
  <si>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</si>
  <si>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</si>
  <si>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</si>
  <si>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</si>
  <si>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</si>
  <si>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</si>
  <si>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</si>
  <si>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</si>
  <si>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</si>
  <si>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</si>
  <si>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</si>
  <si>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</si>
  <si>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</si>
  <si>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</si>
  <si>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</si>
  <si>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</si>
  <si>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</si>
  <si>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</si>
  <si>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</si>
  <si>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</si>
  <si>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</si>
  <si>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</si>
  <si>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</si>
  <si>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</si>
  <si>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</si>
  <si>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</si>
  <si>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</si>
  <si>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</si>
  <si>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</si>
  <si>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</si>
  <si>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</si>
  <si>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</si>
  <si>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</si>
  <si>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</si>
  <si>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</si>
  <si>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</si>
  <si>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</si>
  <si>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</si>
  <si>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</si>
  <si>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</si>
  <si>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</si>
  <si>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</si>
  <si>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</si>
  <si>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</si>
  <si>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</si>
  <si>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</si>
  <si>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</si>
  <si>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</si>
  <si>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</si>
  <si>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</si>
  <si>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</si>
  <si>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</si>
  <si>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</si>
  <si>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</si>
  <si>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</si>
  <si>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</si>
  <si>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</si>
  <si>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</si>
  <si>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</si>
  <si>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</si>
  <si>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</si>
  <si>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</si>
  <si>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</si>
  <si>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</si>
  <si>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</si>
  <si>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</si>
  <si>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</si>
  <si>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</si>
  <si>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</si>
  <si>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</si>
  <si>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</si>
  <si>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</si>
  <si>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</si>
  <si>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</si>
  <si>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</si>
  <si>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</si>
  <si>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</si>
  <si>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</si>
  <si>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</si>
  <si>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</si>
  <si>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</si>
  <si>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</si>
  <si>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</si>
  <si>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</si>
  <si>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</si>
  <si>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</si>
  <si>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</si>
  <si>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</si>
  <si>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</si>
  <si>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</si>
  <si>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</si>
  <si>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</si>
  <si>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</si>
  <si>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</si>
  <si>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</si>
  <si>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</si>
  <si>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</si>
  <si>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</si>
  <si>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</si>
  <si>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</si>
  <si>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</si>
  <si>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</si>
  <si>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</si>
  <si>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</si>
  <si>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</si>
  <si>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</si>
  <si>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</si>
  <si>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</si>
  <si>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</si>
  <si>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</si>
  <si>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</si>
  <si>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</si>
  <si>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</si>
  <si>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</si>
  <si>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</si>
  <si>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</si>
  <si>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</si>
  <si>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</si>
  <si>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</si>
  <si>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</si>
  <si>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</si>
  <si>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</si>
  <si>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</si>
  <si>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</si>
  <si>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</si>
  <si>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</si>
  <si>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</si>
  <si>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</si>
  <si>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</si>
  <si>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</si>
  <si>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</si>
  <si>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</si>
  <si>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</si>
  <si>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</si>
  <si>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</si>
  <si>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</si>
  <si>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</si>
  <si>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</si>
  <si>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</si>
  <si>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</si>
  <si>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</si>
  <si>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</si>
  <si>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</si>
  <si>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</si>
  <si>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</si>
  <si>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</si>
  <si>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</si>
  <si>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</si>
  <si>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</si>
  <si>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</si>
  <si>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</si>
  <si>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</si>
  <si>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</si>
  <si>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</si>
  <si>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</si>
  <si>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</si>
  <si>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</si>
  <si>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</si>
  <si>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</si>
  <si>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</si>
  <si>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</si>
  <si>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</si>
  <si>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</si>
  <si>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</si>
  <si>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</si>
  <si>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</si>
  <si>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</si>
  <si>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</si>
  <si>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</si>
  <si>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</si>
  <si>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</si>
  <si>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</si>
  <si>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</si>
  <si>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</si>
  <si>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</si>
  <si>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</si>
  <si>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</si>
  <si>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</si>
  <si>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</si>
  <si>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</si>
  <si>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</si>
  <si>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</si>
  <si>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</si>
  <si>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</si>
  <si>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</si>
  <si>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</si>
  <si>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</si>
  <si>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</si>
  <si>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</si>
  <si>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</si>
  <si>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</si>
  <si>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</si>
  <si>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</si>
  <si>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</si>
  <si>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</si>
  <si>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</si>
  <si>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</si>
  <si>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</si>
  <si>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</si>
  <si>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</si>
  <si>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</si>
  <si>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</si>
  <si>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</si>
  <si>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</si>
  <si>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</si>
  <si>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</si>
  <si>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</si>
  <si>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</si>
  <si>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</si>
  <si>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</si>
  <si>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</si>
  <si>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</si>
  <si>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</si>
  <si>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</si>
  <si>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</si>
  <si>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</si>
  <si>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</si>
  <si>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</si>
  <si>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</si>
  <si>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</si>
  <si>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</si>
  <si>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</si>
  <si>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</si>
  <si>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</si>
  <si>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</si>
  <si>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</si>
  <si>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</si>
  <si>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</si>
  <si>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</si>
  <si>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</si>
  <si>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</si>
  <si>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</si>
  <si>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</si>
  <si>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</si>
  <si>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</si>
  <si>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</si>
  <si>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</si>
  <si>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</si>
  <si>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</si>
  <si>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</si>
  <si>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</si>
  <si>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</si>
  <si>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</si>
  <si>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</si>
  <si>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</si>
  <si>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</si>
  <si>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</si>
  <si>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</si>
  <si>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</si>
  <si>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</si>
  <si>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</si>
  <si>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</si>
  <si>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</si>
  <si>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</si>
  <si>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</si>
  <si>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</si>
  <si>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</si>
  <si>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</si>
  <si>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</si>
  <si>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</si>
  <si>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</si>
  <si>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</si>
  <si>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</si>
  <si>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</si>
  <si>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</si>
  <si>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</si>
  <si>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</si>
  <si>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</si>
  <si>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</si>
  <si>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</si>
  <si>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</si>
  <si>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</si>
  <si>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</si>
  <si>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</si>
  <si>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</si>
  <si>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</si>
  <si>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</si>
  <si>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</si>
  <si>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</si>
  <si>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</si>
  <si>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</si>
  <si>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</si>
  <si>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</si>
  <si>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</si>
  <si>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</si>
  <si>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</si>
  <si>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</si>
  <si>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</si>
  <si>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</si>
  <si>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</si>
  <si>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</si>
  <si>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</si>
  <si>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</si>
  <si>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</si>
  <si>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</si>
  <si>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</si>
  <si>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</si>
  <si>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</si>
  <si>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</si>
  <si>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</si>
  <si>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</si>
  <si>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</si>
  <si>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</si>
  <si>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</si>
  <si>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</si>
  <si>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</si>
  <si>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</si>
  <si>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</si>
  <si>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</si>
  <si>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</si>
  <si>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</si>
  <si>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</si>
  <si>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</si>
  <si>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</si>
  <si>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</si>
  <si>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</si>
  <si>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</si>
  <si>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</si>
  <si>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</si>
  <si>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</si>
  <si>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</si>
  <si>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</si>
  <si>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</si>
  <si>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</si>
  <si>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</si>
  <si>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</si>
  <si>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</si>
  <si>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</si>
  <si>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</si>
  <si>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</si>
  <si>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</si>
  <si>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</si>
  <si>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</si>
  <si>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</si>
  <si>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</si>
  <si>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</si>
  <si>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</si>
  <si>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</si>
  <si>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</si>
  <si>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</si>
  <si>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</si>
  <si>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</si>
  <si>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</si>
  <si>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</si>
  <si>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</si>
  <si>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</si>
  <si>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</si>
  <si>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</si>
  <si>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</si>
  <si>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</si>
  <si>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</si>
  <si>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</si>
  <si>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</si>
  <si>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</si>
  <si>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</si>
  <si>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</si>
  <si>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</si>
  <si>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</si>
  <si>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</si>
  <si>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</si>
  <si>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</si>
  <si>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</si>
  <si>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</si>
  <si>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</si>
  <si>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</si>
  <si>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</si>
  <si>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</si>
  <si>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</si>
  <si>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</si>
  <si>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</si>
  <si>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</si>
  <si>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</si>
  <si>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</si>
  <si>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</si>
  <si>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</si>
  <si>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</si>
  <si>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</si>
  <si>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</si>
  <si>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</si>
  <si>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</si>
  <si>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</si>
  <si>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</si>
  <si>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</si>
  <si>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</si>
  <si>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</si>
  <si>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</si>
  <si>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</si>
  <si>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</si>
  <si>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</si>
  <si>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</si>
  <si>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</si>
  <si>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</si>
  <si>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</si>
  <si>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</si>
  <si>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</si>
  <si>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</si>
  <si>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</si>
  <si>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</si>
  <si>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</si>
  <si>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</si>
  <si>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</si>
  <si>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</si>
  <si>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</si>
  <si>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</si>
  <si>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</si>
  <si>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</si>
  <si>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</si>
  <si>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</si>
  <si>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</si>
  <si>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</si>
  <si>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</si>
  <si>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</si>
  <si>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</si>
  <si>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</si>
  <si>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</si>
  <si>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</si>
  <si>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</si>
  <si>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</si>
  <si>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</si>
  <si>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</si>
  <si>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</si>
  <si>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</si>
  <si>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</si>
  <si>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</si>
  <si>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</si>
  <si>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</si>
  <si>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</si>
  <si>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</si>
  <si>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</si>
  <si>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</si>
  <si>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</si>
  <si>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</si>
  <si>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</si>
  <si>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</si>
  <si>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</si>
  <si>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</si>
  <si>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</si>
  <si>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</si>
  <si>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</si>
  <si>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</si>
  <si>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</si>
  <si>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</si>
  <si>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</si>
  <si>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</si>
  <si>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</si>
  <si>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</si>
  <si>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</si>
  <si>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</si>
  <si>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</si>
  <si>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</si>
  <si>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</si>
  <si>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</si>
  <si>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</si>
  <si>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</si>
  <si>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</si>
  <si>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</si>
  <si>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</si>
  <si>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</si>
  <si>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</si>
  <si>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</si>
  <si>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</si>
  <si>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</si>
  <si>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</si>
  <si>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</si>
  <si>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</si>
  <si>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</si>
  <si>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</si>
  <si>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</si>
  <si>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</si>
  <si>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</si>
  <si>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</si>
  <si>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</si>
  <si>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</si>
  <si>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</si>
  <si>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</si>
  <si>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</si>
  <si>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</si>
  <si>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</si>
  <si>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</si>
  <si>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</si>
  <si>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</si>
  <si>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</si>
  <si>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</si>
  <si>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</si>
  <si>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</si>
  <si>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</si>
  <si>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</si>
  <si>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</si>
  <si>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</si>
  <si>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</si>
  <si>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</si>
  <si>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</si>
  <si>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</si>
  <si>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</si>
  <si>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</si>
  <si>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</si>
  <si>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total cost</t>
  </si>
  <si>
    <t>country code</t>
  </si>
  <si>
    <t>sum</t>
  </si>
  <si>
    <t>average</t>
  </si>
  <si>
    <t>if</t>
  </si>
  <si>
    <t>countif</t>
  </si>
  <si>
    <t>text</t>
  </si>
  <si>
    <t>x look up</t>
  </si>
  <si>
    <t>v look up</t>
  </si>
  <si>
    <t>statistic</t>
  </si>
  <si>
    <t>value</t>
  </si>
  <si>
    <t>mean</t>
  </si>
  <si>
    <t>median</t>
  </si>
  <si>
    <t>mode</t>
  </si>
  <si>
    <t>standard deviation</t>
  </si>
  <si>
    <t>maximum</t>
  </si>
  <si>
    <t>minimum</t>
  </si>
  <si>
    <t>count</t>
  </si>
  <si>
    <t>Row Labels</t>
  </si>
  <si>
    <t>Grand Total</t>
  </si>
  <si>
    <t>Count of Total_Amount</t>
  </si>
  <si>
    <t>e commerce sales dashboard</t>
  </si>
  <si>
    <t>total sales</t>
  </si>
  <si>
    <t>average sales</t>
  </si>
  <si>
    <t>total transactions</t>
  </si>
  <si>
    <t>N/A</t>
  </si>
  <si>
    <t>findings&amp;summary</t>
  </si>
  <si>
    <t>total transactions were analysed from the salesdata set</t>
  </si>
  <si>
    <t>store-wise sales show differences in sales performance</t>
  </si>
  <si>
    <t>the dash board helps identify high and low performing stores</t>
  </si>
  <si>
    <t>data cleaning improvedthe accuracy of analysis</t>
  </si>
  <si>
    <t>excel formulas and pivot tables helped summarize the sales data</t>
  </si>
  <si>
    <t>conclusion</t>
  </si>
  <si>
    <t>the analysis provides useful insights into sales,performance and supports better business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</si>
</sst>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&quot;₹&quot;\ #,##0.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ASSIGNMENT,SAMITHA PS DA69.xlsx]Sheet2!PivotTable1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store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Sheet2!$A$4:$A$24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Sheet2!$B$4:$B$24</c:f>
              <c:numCache>
                <c:formatCode>General</c:formatCode>
                <c:ptCount val="20"/>
                <c:pt idx="0">
                  <c:v>93</c:v>
                </c:pt>
                <c:pt idx="1">
                  <c:v>94</c:v>
                </c:pt>
                <c:pt idx="2">
                  <c:v>96</c:v>
                </c:pt>
                <c:pt idx="3">
                  <c:v>88</c:v>
                </c:pt>
                <c:pt idx="4">
                  <c:v>100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106</c:v>
                </c:pt>
                <c:pt idx="9">
                  <c:v>109</c:v>
                </c:pt>
                <c:pt idx="10">
                  <c:v>105</c:v>
                </c:pt>
                <c:pt idx="11">
                  <c:v>93</c:v>
                </c:pt>
                <c:pt idx="12">
                  <c:v>92</c:v>
                </c:pt>
                <c:pt idx="13">
                  <c:v>114</c:v>
                </c:pt>
                <c:pt idx="14">
                  <c:v>102</c:v>
                </c:pt>
                <c:pt idx="15">
                  <c:v>82</c:v>
                </c:pt>
                <c:pt idx="16">
                  <c:v>106</c:v>
                </c:pt>
                <c:pt idx="17">
                  <c:v>108</c:v>
                </c:pt>
                <c:pt idx="18">
                  <c:v>127</c:v>
                </c:pt>
                <c:pt idx="19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30176"/>
        <c:axId val="206128640"/>
      </c:barChart>
      <c:valAx>
        <c:axId val="20612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130176"/>
        <c:crosses val="autoZero"/>
        <c:crossBetween val="between"/>
      </c:valAx>
      <c:catAx>
        <c:axId val="206130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612864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spPr>
    <a:solidFill>
      <a:schemeClr val="bg2">
        <a:lumMod val="9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ASSIGNMENT,SAMITHA PS DA69.xlsx]Sheet2!PivotTable1</c:name>
    <c:fmtId val="2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store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Sheet2!$A$4:$A$24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Sheet2!$B$4:$B$24</c:f>
              <c:numCache>
                <c:formatCode>General</c:formatCode>
                <c:ptCount val="20"/>
                <c:pt idx="0">
                  <c:v>93</c:v>
                </c:pt>
                <c:pt idx="1">
                  <c:v>94</c:v>
                </c:pt>
                <c:pt idx="2">
                  <c:v>96</c:v>
                </c:pt>
                <c:pt idx="3">
                  <c:v>88</c:v>
                </c:pt>
                <c:pt idx="4">
                  <c:v>100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106</c:v>
                </c:pt>
                <c:pt idx="9">
                  <c:v>109</c:v>
                </c:pt>
                <c:pt idx="10">
                  <c:v>105</c:v>
                </c:pt>
                <c:pt idx="11">
                  <c:v>93</c:v>
                </c:pt>
                <c:pt idx="12">
                  <c:v>92</c:v>
                </c:pt>
                <c:pt idx="13">
                  <c:v>114</c:v>
                </c:pt>
                <c:pt idx="14">
                  <c:v>102</c:v>
                </c:pt>
                <c:pt idx="15">
                  <c:v>82</c:v>
                </c:pt>
                <c:pt idx="16">
                  <c:v>106</c:v>
                </c:pt>
                <c:pt idx="17">
                  <c:v>108</c:v>
                </c:pt>
                <c:pt idx="18">
                  <c:v>127</c:v>
                </c:pt>
                <c:pt idx="19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63904"/>
        <c:axId val="205162368"/>
      </c:barChart>
      <c:valAx>
        <c:axId val="205162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163904"/>
        <c:crosses val="autoZero"/>
        <c:crossBetween val="between"/>
      </c:valAx>
      <c:catAx>
        <c:axId val="20516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516236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2">
        <a:lumMod val="9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385761</xdr:colOff>
      <xdr:row>1</xdr:row>
      <xdr:rowOff>180975</xdr:rowOff>
    </xdr:from>
    <xdr:to>
      <xdr:col>10</xdr:col>
      <xdr:colOff>28575</xdr:colOff>
      <xdr:row>15</xdr:row>
      <xdr:rowOff>123826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15</xdr:row>
      <xdr:rowOff>180976</xdr:rowOff>
    </xdr:from>
    <xdr:to>
      <xdr:col>9</xdr:col>
      <xdr:colOff>600075</xdr:colOff>
      <xdr:row>27</xdr:row>
      <xdr:rowOff>85726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371475</xdr:colOff>
      <xdr:row>15</xdr:row>
      <xdr:rowOff>171451</xdr:rowOff>
    </xdr:from>
    <xdr:to>
      <xdr:col>9</xdr:col>
      <xdr:colOff>533400</xdr:colOff>
      <xdr:row>27</xdr:row>
      <xdr:rowOff>76201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5</xdr:row>
      <xdr:rowOff>47625</xdr:rowOff>
    </xdr:from>
    <xdr:to>
      <xdr:col>4</xdr:col>
      <xdr:colOff>485775</xdr:colOff>
      <xdr:row>17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roduct_di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oduct_dim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NOJ" refreshedDate="46269.977476388885" createdVersion="4" refreshedVersion="4" minRefreshableVersion="3" recordCount="2000">
  <cacheSource type="worksheet">
    <worksheetSource ref="A1:J2001" sheet="Sales_Fact"/>
  </cacheSource>
  <cacheFields count="10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/>
    </cacheField>
    <cacheField name="Store_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" maxValue="0.3"/>
    </cacheField>
    <cacheField name="Payment_Type" numFmtId="0">
      <sharedItems/>
    </cacheField>
    <cacheField name="Total_Amount" numFmtId="0">
      <sharedItems containsString="0" containsBlank="1" containsNumber="1" minValue="18.459" maxValue="3908.2428" count="1997">
        <n v="198.41640000000001"/>
        <n v="228.7893"/>
        <n v="2742.15"/>
        <n v="774.0684"/>
        <n v="1833.4380000000001"/>
        <n v="357.23430000000002"/>
        <n v="1335.027"/>
        <n v="1054.5612000000001"/>
        <n v="1250.6175000000001"/>
        <n v="1344.6818000000001"/>
        <n v="259.1259"/>
        <n v="952.57439999999997"/>
        <n v="2552.5367999999999"/>
        <n v="443.66"/>
        <n v="1145.8548000000001"/>
        <n v="2509.4591999999998"/>
        <n v="677.97"/>
        <n v="774.14260000000002"/>
        <n v="838.84500000000003"/>
        <n v="1782.4512"/>
        <n v="2159.4276"/>
        <n v="459.85680000000002"/>
        <n v="2850.1122"/>
        <n v="661.73760000000004"/>
        <n v="216.50399999999999"/>
        <n v="2933.3224"/>
        <n v="599.65440000000001"/>
        <n v="2030.5700999999999"/>
        <n v="132.09379999999999"/>
        <n v="1535.6780000000001"/>
        <n v="373.56060000000002"/>
        <n v="288.98239999999998"/>
        <n v="1154.8943999999999"/>
        <n v="1219.4269999999999"/>
        <n v="2148.1212"/>
        <n v="354.32639999999998"/>
        <n v="1409.9903999999999"/>
        <n v="266.65440000000001"/>
        <n v="2764.8031999999998"/>
        <n v="1105.3432"/>
        <n v="1625.3796"/>
        <n v="945.21720000000016"/>
        <n v="1537.452"/>
        <n v="1864.3176000000001"/>
        <n v="322.3528"/>
        <n v="1050.5039999999999"/>
        <n v="393.5686"/>
        <n v="116.77079999999999"/>
        <n v="372.33359999999999"/>
        <n v="707.77440000000013"/>
        <n v="190.83600000000001"/>
        <n v="169.9854"/>
        <n v="486.06330000000003"/>
        <n v="783.30449999999996"/>
        <n v="1592.4947999999999"/>
        <n v="783.59400000000005"/>
        <n v="1567.356"/>
        <n v="979.43039999999996"/>
        <n v="2552.3015999999998"/>
        <n v="767.17410000000007"/>
        <n v="180.93530000000001"/>
        <n v="307.43439999999998"/>
        <n v="412.66719999999998"/>
        <n v="230.60300000000001"/>
        <m/>
        <n v="1301.9864"/>
        <n v="2670.74"/>
        <n v="791.33600000000001"/>
        <n v="204.93440000000001"/>
        <n v="1706.1695999999999"/>
        <n v="1243.038"/>
        <n v="503.97620000000012"/>
        <n v="968.18819999999994"/>
        <n v="166.482"/>
        <n v="2156.5544"/>
        <n v="1029.4649999999999"/>
        <n v="502.10860000000002"/>
        <n v="1512.924"/>
        <n v="289.99450000000002"/>
        <n v="415.73379999999997"/>
        <n v="272.79750000000001"/>
        <n v="1010.2344000000001"/>
        <n v="133.4332"/>
        <n v="386.38400000000001"/>
        <n v="1943.0927999999999"/>
        <n v="2777.4432000000002"/>
        <n v="374.66759999999999"/>
        <n v="705.78959999999995"/>
        <n v="616.21119999999996"/>
        <n v="339.27080000000001"/>
        <n v="578.11989999999992"/>
        <n v="556.78399999999999"/>
        <n v="117.4588"/>
        <n v="792.32599999999991"/>
        <n v="1669.3068000000001"/>
        <n v="1581.2496000000001"/>
        <n v="1235.7372"/>
        <n v="658.46"/>
        <n v="895.30439999999999"/>
        <n v="717.25760000000002"/>
        <n v="2997.615600000001"/>
        <n v="1636.1117999999999"/>
        <n v="602.25120000000004"/>
        <n v="1605.5052000000001"/>
        <n v="2060.3912"/>
        <n v="2372.5230000000001"/>
        <n v="1027.7357999999999"/>
        <n v="882.57440000000008"/>
        <n v="1674.5057999999999"/>
        <n v="2020.7097000000001"/>
        <n v="225.57599999999999"/>
        <n v="1388.9190000000001"/>
        <n v="3239.3580000000002"/>
        <n v="2404.8024"/>
        <n v="1007.223"/>
        <n v="115.5"/>
        <n v="215.14420000000001"/>
        <n v="1239.5606"/>
        <n v="1245.3119999999999"/>
        <n v="379.69920000000002"/>
        <n v="893.38200000000006"/>
        <n v="70.960000000000008"/>
        <n v="803.9944999999999"/>
        <n v="926.7263999999999"/>
        <n v="2762.1428999999998"/>
        <n v="1304.9459999999999"/>
        <n v="548.27499999999998"/>
        <n v="782.17539999999997"/>
        <n v="850.29750000000001"/>
        <n v="3306.1392000000001"/>
        <n v="496.97340000000003"/>
        <n v="273.08879999999999"/>
        <n v="1349.0568000000001"/>
        <n v="2471.6376"/>
        <n v="201.59700000000001"/>
        <n v="641.73599999999999"/>
        <n v="2147.5500000000002"/>
        <n v="948.12300000000005"/>
        <n v="372.923"/>
        <n v="1443.7103999999999"/>
        <n v="1278.3407999999999"/>
        <n v="540.90719999999999"/>
        <n v="977.04880000000014"/>
        <n v="1753.23"/>
        <n v="562.32820000000004"/>
        <n v="475.9819"/>
        <n v="1432.2744"/>
        <n v="1194.9503999999999"/>
        <n v="1584.7840000000001"/>
        <n v="193.55719999999999"/>
        <n v="1491.7896000000001"/>
        <n v="300.2022"/>
        <n v="3077.5992000000001"/>
        <n v="1843.04"/>
        <n v="79.775999999999996"/>
        <n v="93.909199999999998"/>
        <n v="193.1234"/>
        <n v="1084.6812"/>
        <n v="455.60099999999989"/>
        <n v="952.84559999999999"/>
        <n v="473.66070000000002"/>
        <n v="485.55839999999989"/>
        <n v="1741.557"/>
        <n v="2343.4616000000001"/>
        <n v="1620.8255999999999"/>
        <n v="798.55200000000013"/>
        <n v="604.41920000000005"/>
        <n v="109.5624"/>
        <n v="240.5592"/>
        <n v="1241.8800000000001"/>
        <n v="1068.2460000000001"/>
        <n v="2873.864"/>
        <n v="1217.1579999999999"/>
        <n v="617.29200000000003"/>
        <n v="75.84"/>
        <n v="2555.64"/>
        <n v="762.36819999999989"/>
        <n v="2089.8951000000002"/>
        <n v="137.49600000000001"/>
        <n v="2908.1696000000002"/>
        <n v="541.6191"/>
        <n v="678.84100000000001"/>
        <n v="1301.6094000000001"/>
        <n v="968.17919999999992"/>
        <n v="1087.6733999999999"/>
        <n v="1786.2336"/>
        <n v="522.68399999999997"/>
        <n v="1146.9390000000001"/>
        <n v="780.75299999999993"/>
        <n v="922.20749999999987"/>
        <n v="263.60719999999998"/>
        <n v="2184.5819999999999"/>
        <n v="862.51430000000005"/>
        <n v="2620.7460000000001"/>
        <n v="525.00279999999998"/>
        <n v="381.95639999999997"/>
        <n v="588.49239999999998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589.798"/>
        <n v="2176.2280000000001"/>
        <n v="3159.0612000000001"/>
        <n v="1194.7392"/>
        <n v="1481.0512000000001"/>
        <n v="2407.2647999999999"/>
        <n v="388.5"/>
        <n v="2337.75"/>
        <n v="692.27"/>
        <n v="315.24779999999998"/>
        <n v="2599.5947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ANOJ" refreshedDate="46269.99027199074" createdVersion="4" refreshedVersion="4" minRefreshableVersion="3" recordCount="100">
  <cacheSource type="worksheet">
    <worksheetSource ref="A1:J101" sheet="Sales_Fact"/>
  </cacheSource>
  <cacheFields count="10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3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minValue="34.39" maxValue="996.33"/>
    </cacheField>
    <cacheField name="Discount" numFmtId="0">
      <sharedItems containsString="0" containsBlank="1" containsNumber="1" minValue="0.01" maxValue="0.3"/>
    </cacheField>
    <cacheField name="Payment_Type" numFmtId="0">
      <sharedItems/>
    </cacheField>
    <cacheField name="Total_Amount" numFmtId="0">
      <sharedItems containsString="0" containsBlank="1" containsNumber="1" minValue="116.77079999999999" maxValue="2933.32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SALE0"/>
    <d v="2024-07-07T00:00:00"/>
    <s v="CUST1409"/>
    <s v="PROD97"/>
    <x v="0"/>
    <n v="1"/>
    <n v="218.04"/>
    <n v="0.09"/>
    <s v="Credit Card"/>
    <x v="0"/>
  </r>
  <r>
    <s v="SALE1"/>
    <d v="2023-12-25T00:00:00"/>
    <s v="CUST1467"/>
    <s v="PROD74"/>
    <x v="1"/>
    <n v="3"/>
    <n v="104.47"/>
    <n v="0.27"/>
    <s v="PayPal"/>
    <x v="1"/>
  </r>
  <r>
    <s v="SALE2"/>
    <d v="2024-06-03T00:00:00"/>
    <s v="CUST1056"/>
    <s v="PROD49"/>
    <x v="2"/>
    <n v="4"/>
    <n v="914.05"/>
    <n v="0.25"/>
    <s v="Credit Card"/>
    <x v="2"/>
  </r>
  <r>
    <s v="SALE3"/>
    <d v="2023-11-29T00:00:00"/>
    <s v="CUST1346"/>
    <s v="PROD76"/>
    <x v="2"/>
    <n v="1"/>
    <n v="921.51"/>
    <n v="0.16"/>
    <s v="COD"/>
    <x v="3"/>
  </r>
  <r>
    <s v="SALE4"/>
    <d v="2024-01-06T00:00:00"/>
    <s v="CUST1493"/>
    <s v="PROD59"/>
    <x v="3"/>
    <n v="3"/>
    <n v="745.3"/>
    <n v="0.18"/>
    <s v="Credit Card"/>
    <x v="4"/>
  </r>
  <r>
    <s v="SALE5"/>
    <d v="2024-07-26T00:00:00"/>
    <s v="CUST1116"/>
    <s v="PROD15"/>
    <x v="4"/>
    <n v="3"/>
    <n v="147.01"/>
    <n v="0.19"/>
    <s v="COD"/>
    <x v="5"/>
  </r>
  <r>
    <s v="SALE6"/>
    <d v="2025-07-12T00:00:00"/>
    <s v="CUST1016"/>
    <s v="PROD56"/>
    <x v="5"/>
    <n v="2"/>
    <n v="785.31"/>
    <n v="0.15"/>
    <s v="PayPal"/>
    <x v="6"/>
  </r>
  <r>
    <s v="SALE7"/>
    <d v="2023-11-18T00:00:00"/>
    <s v="CUST1152"/>
    <s v="PROD70"/>
    <x v="2"/>
    <n v="4"/>
    <n v="342.39"/>
    <n v="0.23"/>
    <s v="PayPal"/>
    <x v="7"/>
  </r>
  <r>
    <s v="SALE8"/>
    <d v="2025-05-04T00:00:00"/>
    <s v="CUST1187"/>
    <s v="PROD99"/>
    <x v="3"/>
    <m/>
    <n v="448.25"/>
    <n v="7.0000000000000007E-2"/>
    <s v="PayPal"/>
    <x v="8"/>
  </r>
  <r>
    <s v="SALE9"/>
    <d v="2025-07-31T00:00:00"/>
    <s v="CUST1464"/>
    <s v="PROD33"/>
    <x v="6"/>
    <n v="2"/>
    <n v="873.17"/>
    <n v="0.23"/>
    <s v="PayPal"/>
    <x v="9"/>
  </r>
  <r>
    <s v="SALE10"/>
    <d v="2024-02-13T00:00:00"/>
    <s v="CUST1065"/>
    <s v="PROD24"/>
    <x v="7"/>
    <n v="1"/>
    <n v="278.63"/>
    <n v="7.0000000000000007E-2"/>
    <s v="Credit Card"/>
    <x v="10"/>
  </r>
  <r>
    <s v="SALE11"/>
    <d v="2025-05-24T00:00:00"/>
    <s v="CUST1320"/>
    <s v="PROD39"/>
    <x v="8"/>
    <n v="4"/>
    <n v="286.92"/>
    <n v="0.17"/>
    <s v="Credit Card"/>
    <x v="11"/>
  </r>
  <r>
    <s v="SALE12"/>
    <d v="2024-08-24T00:00:00"/>
    <s v="CUST1237"/>
    <s v="PROD88"/>
    <x v="5"/>
    <n v="4"/>
    <n v="644.58000000000004"/>
    <n v="0.01"/>
    <s v="Credit Card"/>
    <x v="12"/>
  </r>
  <r>
    <s v="SALE13"/>
    <d v="2025-08-06T00:00:00"/>
    <s v="CUST1443"/>
    <s v="PROD34"/>
    <x v="9"/>
    <n v="2"/>
    <n v="316.89999999999998"/>
    <n v="0.3"/>
    <s v="PayPal"/>
    <x v="13"/>
  </r>
  <r>
    <s v="SALE14"/>
    <d v="2025-06-21T00:00:00"/>
    <s v="CUST1348"/>
    <s v="PROD24"/>
    <x v="10"/>
    <n v="4"/>
    <n v="403.47"/>
    <n v="0.28999999999999998"/>
    <s v="PayPal"/>
    <x v="14"/>
  </r>
  <r>
    <s v="SALE15"/>
    <d v="2024-12-10T00:00:00"/>
    <s v="CUST1435"/>
    <s v="PROD36"/>
    <x v="11"/>
    <m/>
    <n v="871.34"/>
    <n v="0.04"/>
    <s v="COD"/>
    <x v="15"/>
  </r>
  <r>
    <s v="SALE16"/>
    <d v="2025-09-13T00:00:00"/>
    <s v="CUST1276"/>
    <s v="PROD65"/>
    <x v="12"/>
    <n v="2"/>
    <n v="451.98"/>
    <n v="0.25"/>
    <s v="Credit Card"/>
    <x v="16"/>
  </r>
  <r>
    <s v="SALE17"/>
    <d v="2024-12-11T00:00:00"/>
    <s v="CUST1079"/>
    <s v="PROD27"/>
    <x v="5"/>
    <n v="2"/>
    <n v="502.69"/>
    <n v="0.23"/>
    <s v="Credit Card"/>
    <x v="17"/>
  </r>
  <r>
    <s v="SALE18"/>
    <d v="2024-08-13T00:00:00"/>
    <s v="CUST1094"/>
    <s v="PROD39"/>
    <x v="5"/>
    <n v="2"/>
    <n v="559.23"/>
    <n v="0.25"/>
    <s v="COD"/>
    <x v="18"/>
  </r>
  <r>
    <s v="SALE19"/>
    <d v="2024-03-18T00:00:00"/>
    <s v="CUST1239"/>
    <s v="PROD60"/>
    <x v="13"/>
    <n v="4"/>
    <m/>
    <n v="0.04"/>
    <s v="COD"/>
    <x v="19"/>
  </r>
  <r>
    <s v="SALE20"/>
    <d v="2025-07-05T00:00:00"/>
    <s v="CUST1144"/>
    <s v="PROD72"/>
    <x v="1"/>
    <n v="3"/>
    <n v="986.04"/>
    <n v="0.27"/>
    <s v="COD"/>
    <x v="20"/>
  </r>
  <r>
    <s v="SALE21"/>
    <d v="2024-06-04T00:00:00"/>
    <s v="CUST1396"/>
    <s v="PROD43"/>
    <x v="14"/>
    <n v="1"/>
    <n v="589.55999999999995"/>
    <n v="0.22"/>
    <s v="Credit Card"/>
    <x v="21"/>
  </r>
  <r>
    <s v="SALE22"/>
    <d v="2024-04-12T00:00:00"/>
    <s v="CUST1476"/>
    <s v="PROD69"/>
    <x v="15"/>
    <n v="3"/>
    <n v="979.42"/>
    <n v="0.03"/>
    <s v="PayPal"/>
    <x v="22"/>
  </r>
  <r>
    <s v="SALE23"/>
    <d v="2024-06-23T00:00:00"/>
    <s v="CUST1368"/>
    <s v="PROD12"/>
    <x v="2"/>
    <n v="1"/>
    <n v="719.28"/>
    <n v="0.08"/>
    <s v="Credit Card"/>
    <x v="23"/>
  </r>
  <r>
    <s v="SALE24"/>
    <d v="2025-09-08T00:00:00"/>
    <s v="CUST1186"/>
    <s v="PROD67"/>
    <x v="16"/>
    <n v="3"/>
    <n v="77.599999999999994"/>
    <n v="7.0000000000000007E-2"/>
    <s v="Credit Card"/>
    <x v="24"/>
  </r>
  <r>
    <s v="SALE25"/>
    <d v="2024-09-17T00:00:00"/>
    <s v="CUST1381"/>
    <s v="PROD5"/>
    <x v="0"/>
    <n v="4"/>
    <n v="852.71"/>
    <n v="0.14000000000000001"/>
    <s v="PayPal"/>
    <x v="25"/>
  </r>
  <r>
    <s v="SALE26"/>
    <d v="2024-01-03T00:00:00"/>
    <s v="CUST1213"/>
    <s v="PROD98"/>
    <x v="2"/>
    <n v="4"/>
    <n v="156.16"/>
    <m/>
    <s v="Credit Card"/>
    <x v="26"/>
  </r>
  <r>
    <s v="SALE27"/>
    <d v="2025-02-22T00:00:00"/>
    <s v="CUST1200"/>
    <s v="PROD77"/>
    <x v="2"/>
    <n v="3"/>
    <n v="815.49"/>
    <n v="0.17"/>
    <s v="Credit Card"/>
    <x v="27"/>
  </r>
  <r>
    <s v="SALE28"/>
    <d v="2025-09-23T00:00:00"/>
    <s v="CUST1148"/>
    <s v="PROD13"/>
    <x v="17"/>
    <n v="2"/>
    <n v="74.209999999999994"/>
    <n v="0.11"/>
    <s v="PayPal"/>
    <x v="28"/>
  </r>
  <r>
    <s v="SALE29"/>
    <d v="2024-01-11T00:00:00"/>
    <s v="CUST1348"/>
    <s v="PROD99"/>
    <x v="0"/>
    <m/>
    <n v="451.67"/>
    <n v="0.15"/>
    <s v="Credit Card"/>
    <x v="29"/>
  </r>
  <r>
    <s v="SALE30"/>
    <d v="2023-10-18T00:00:00"/>
    <s v="CUST1028"/>
    <s v="PROD5"/>
    <x v="12"/>
    <n v="1"/>
    <n v="429.38"/>
    <n v="0.13"/>
    <s v="PayPal"/>
    <x v="30"/>
  </r>
  <r>
    <s v="SALE31"/>
    <d v="2024-10-28T00:00:00"/>
    <s v="CUST1412"/>
    <s v="PROD53"/>
    <x v="18"/>
    <n v="2"/>
    <n v="148.96"/>
    <n v="0.03"/>
    <s v="COD"/>
    <x v="31"/>
  </r>
  <r>
    <s v="SALE32"/>
    <d v="2024-11-01T00:00:00"/>
    <s v="CUST1398"/>
    <s v="PROD75"/>
    <x v="2"/>
    <n v="4"/>
    <n v="313.83"/>
    <n v="0.08"/>
    <s v="Credit Card"/>
    <x v="32"/>
  </r>
  <r>
    <s v="SALE33"/>
    <d v="2024-11-24T00:00:00"/>
    <s v="CUST1453"/>
    <s v="PROD12"/>
    <x v="16"/>
    <n v="2"/>
    <n v="717.31"/>
    <n v="0.15"/>
    <s v="Credit Card"/>
    <x v="33"/>
  </r>
  <r>
    <s v="SALE34"/>
    <d v="2023-10-16T00:00:00"/>
    <s v="CUST1344"/>
    <s v="PROD79"/>
    <x v="8"/>
    <m/>
    <n v="873.22"/>
    <n v="0.18"/>
    <s v="Credit Card"/>
    <x v="34"/>
  </r>
  <r>
    <s v="SALE35"/>
    <d v="2025-08-09T00:00:00"/>
    <s v="CUST1218"/>
    <s v="PROD16"/>
    <x v="0"/>
    <n v="4"/>
    <n v="109.36"/>
    <n v="0.19"/>
    <s v="COD"/>
    <x v="35"/>
  </r>
  <r>
    <s v="SALE36"/>
    <d v="2024-12-09T00:00:00"/>
    <s v="CUST1086"/>
    <s v="PROD5"/>
    <x v="4"/>
    <n v="3"/>
    <n v="559.52"/>
    <n v="0.16"/>
    <s v="PayPal"/>
    <x v="36"/>
  </r>
  <r>
    <s v="SALE37"/>
    <d v="2024-02-07T00:00:00"/>
    <s v="CUST1492"/>
    <s v="PROD10"/>
    <x v="1"/>
    <n v="3"/>
    <n v="121.76"/>
    <n v="0.27"/>
    <s v="PayPal"/>
    <x v="37"/>
  </r>
  <r>
    <s v="SALE38"/>
    <d v="2024-03-27T00:00:00"/>
    <s v="CUST1189"/>
    <s v="PROD33"/>
    <x v="13"/>
    <n v="4"/>
    <n v="735.32"/>
    <n v="0.06"/>
    <s v="COD"/>
    <x v="38"/>
  </r>
  <r>
    <s v="SALE39"/>
    <d v="2023-12-04T00:00:00"/>
    <s v="CUST1431"/>
    <s v="PROD94"/>
    <x v="0"/>
    <n v="2"/>
    <n v="600.73"/>
    <n v="0.08"/>
    <s v="Credit Card"/>
    <x v="39"/>
  </r>
  <r>
    <s v="SALE40"/>
    <d v="2024-07-13T00:00:00"/>
    <s v="CUST1072"/>
    <s v="PROD26"/>
    <x v="12"/>
    <n v="2"/>
    <n v="873.86"/>
    <n v="7.0000000000000007E-2"/>
    <s v="COD"/>
    <x v="40"/>
  </r>
  <r>
    <s v="SALE41"/>
    <d v="2023-11-11T00:00:00"/>
    <s v="CUST1302"/>
    <s v="PROD23"/>
    <x v="2"/>
    <n v="3"/>
    <n v="342.47"/>
    <n v="0.08"/>
    <s v="PayPal"/>
    <x v="41"/>
  </r>
  <r>
    <s v="SALE42"/>
    <d v="2024-12-23T00:00:00"/>
    <s v="CUST1335"/>
    <s v="PROD29"/>
    <x v="11"/>
    <n v="2"/>
    <n v="915.15"/>
    <n v="0.16"/>
    <s v="PayPal"/>
    <x v="42"/>
  </r>
  <r>
    <s v="SALE43"/>
    <d v="2025-01-20T00:00:00"/>
    <s v="CUST1084"/>
    <s v="PROD33"/>
    <x v="1"/>
    <m/>
    <n v="863.11"/>
    <n v="0.28000000000000003"/>
    <s v="PayPal"/>
    <x v="43"/>
  </r>
  <r>
    <s v="SALE44"/>
    <d v="2024-09-03T00:00:00"/>
    <s v="CUST1203"/>
    <s v="PROD43"/>
    <x v="18"/>
    <n v="2"/>
    <n v="209.32"/>
    <n v="0.23"/>
    <s v="COD"/>
    <x v="44"/>
  </r>
  <r>
    <s v="SALE45"/>
    <d v="2024-11-10T00:00:00"/>
    <s v="CUST1470"/>
    <s v="PROD59"/>
    <x v="2"/>
    <n v="4"/>
    <n v="288.60000000000002"/>
    <n v="0.09"/>
    <s v="PayPal"/>
    <x v="45"/>
  </r>
  <r>
    <s v="SALE46"/>
    <d v="2024-10-05T00:00:00"/>
    <s v="CUST1070"/>
    <s v="PROD78"/>
    <x v="9"/>
    <n v="1"/>
    <n v="418.69"/>
    <n v="0.06"/>
    <s v="PayPal"/>
    <x v="46"/>
  </r>
  <r>
    <s v="SALE47"/>
    <d v="2024-06-23T00:00:00"/>
    <s v="CUST1008"/>
    <s v="PROD30"/>
    <x v="19"/>
    <n v="1"/>
    <n v="135.78"/>
    <n v="0.14000000000000001"/>
    <s v="PayPal"/>
    <x v="47"/>
  </r>
  <r>
    <s v="SALE48"/>
    <d v="2023-10-19T00:00:00"/>
    <s v="CUST1203"/>
    <s v="PROD44"/>
    <x v="1"/>
    <n v="1"/>
    <n v="517.13"/>
    <n v="0.28000000000000003"/>
    <s v="Credit Card"/>
    <x v="48"/>
  </r>
  <r>
    <s v="SALE49"/>
    <d v="2024-11-11T00:00:00"/>
    <s v="CUST1420"/>
    <s v="PROD21"/>
    <x v="9"/>
    <n v="2"/>
    <n v="384.66"/>
    <n v="0.08"/>
    <s v="COD"/>
    <x v="49"/>
  </r>
  <r>
    <s v="SALE50"/>
    <d v="2023-12-31T00:00:00"/>
    <s v="CUST1070"/>
    <s v="PROD52"/>
    <x v="11"/>
    <n v="3"/>
    <n v="83.7"/>
    <n v="0.24"/>
    <s v="PayPal"/>
    <x v="50"/>
  </r>
  <r>
    <s v="SALE51"/>
    <d v="2025-02-01T00:00:00"/>
    <s v="CUST1142"/>
    <s v="PROD69"/>
    <x v="4"/>
    <n v="3"/>
    <n v="76.569999999999993"/>
    <n v="0.26"/>
    <s v="Credit Card"/>
    <x v="51"/>
  </r>
  <r>
    <s v="SALE52"/>
    <d v="2025-08-25T00:00:00"/>
    <s v="CUST1148"/>
    <s v="PROD89"/>
    <x v="16"/>
    <n v="3"/>
    <m/>
    <m/>
    <s v="Credit Card"/>
    <x v="52"/>
  </r>
  <r>
    <s v="SALE53"/>
    <d v="2025-01-20T00:00:00"/>
    <s v="CUST1324"/>
    <s v="PROD20"/>
    <x v="2"/>
    <n v="1"/>
    <n v="900.35"/>
    <n v="0.13"/>
    <s v="COD"/>
    <x v="53"/>
  </r>
  <r>
    <s v="SALE54"/>
    <d v="2025-02-18T00:00:00"/>
    <s v="CUST1095"/>
    <s v="PROD40"/>
    <x v="15"/>
    <n v="4"/>
    <n v="428.09"/>
    <n v="7.0000000000000007E-2"/>
    <s v="Credit Card"/>
    <x v="54"/>
  </r>
  <r>
    <s v="SALE55"/>
    <d v="2024-10-24T00:00:00"/>
    <s v="CUST1416"/>
    <s v="PROD49"/>
    <x v="19"/>
    <n v="2"/>
    <n v="559.71"/>
    <n v="0.3"/>
    <s v="COD"/>
    <x v="55"/>
  </r>
  <r>
    <s v="SALE56"/>
    <d v="2023-12-22T00:00:00"/>
    <s v="CUST1080"/>
    <s v="PROD34"/>
    <x v="16"/>
    <n v="2"/>
    <n v="833.7"/>
    <n v="0.06"/>
    <s v="PayPal"/>
    <x v="56"/>
  </r>
  <r>
    <s v="SALE57"/>
    <d v="2024-06-19T00:00:00"/>
    <s v="CUST1467"/>
    <s v="PROD47"/>
    <x v="7"/>
    <n v="2"/>
    <n v="680.16"/>
    <n v="0.28000000000000003"/>
    <s v="Credit Card"/>
    <x v="57"/>
  </r>
  <r>
    <s v="SALE58"/>
    <d v="2024-12-07T00:00:00"/>
    <s v="CUST1404"/>
    <s v="PROD15"/>
    <x v="4"/>
    <n v="4"/>
    <n v="733.42"/>
    <m/>
    <s v="PayPal"/>
    <x v="58"/>
  </r>
  <r>
    <s v="SALE59"/>
    <d v="2023-11-27T00:00:00"/>
    <s v="CUST1367"/>
    <s v="PROD89"/>
    <x v="19"/>
    <n v="1"/>
    <n v="996.33"/>
    <n v="0.23"/>
    <s v="PayPal"/>
    <x v="59"/>
  </r>
  <r>
    <s v="SALE60"/>
    <d v="2025-07-16T00:00:00"/>
    <s v="CUST1408"/>
    <s v="PROD31"/>
    <x v="15"/>
    <n v="1"/>
    <n v="198.83"/>
    <n v="0.09"/>
    <s v="COD"/>
    <x v="60"/>
  </r>
  <r>
    <s v="SALE61"/>
    <d v="2025-02-28T00:00:00"/>
    <s v="CUST1239"/>
    <s v="PROD19"/>
    <x v="4"/>
    <n v="1"/>
    <n v="374.92"/>
    <n v="0.18"/>
    <s v="PayPal"/>
    <x v="61"/>
  </r>
  <r>
    <s v="SALE62"/>
    <d v="2024-08-11T00:00:00"/>
    <s v="CUST1464"/>
    <s v="PROD93"/>
    <x v="9"/>
    <n v="1"/>
    <n v="468.94"/>
    <n v="0.12"/>
    <s v="Credit Card"/>
    <x v="62"/>
  </r>
  <r>
    <s v="SALE63"/>
    <d v="2025-09-27T00:00:00"/>
    <s v="CUST1126"/>
    <s v="PROD89"/>
    <x v="18"/>
    <n v="2"/>
    <n v="121.37"/>
    <n v="0.05"/>
    <s v="Credit Card"/>
    <x v="63"/>
  </r>
  <r>
    <s v="SALE64"/>
    <d v="2025-09-14T00:00:00"/>
    <s v="CUST1255"/>
    <s v="PROD53"/>
    <x v="15"/>
    <n v="3"/>
    <n v="480.06"/>
    <n v="0.01"/>
    <s v="Credit Card"/>
    <x v="64"/>
  </r>
  <r>
    <s v="SALE65"/>
    <d v="2023-12-30T00:00:00"/>
    <s v="CUST1162"/>
    <s v="PROD99"/>
    <x v="1"/>
    <n v="2"/>
    <n v="856.57"/>
    <n v="0.24"/>
    <s v="Credit Card"/>
    <x v="65"/>
  </r>
  <r>
    <s v="SALE66"/>
    <d v="2023-10-14T00:00:00"/>
    <s v="CUST1269"/>
    <s v="PROD77"/>
    <x v="17"/>
    <n v="4"/>
    <n v="814.25"/>
    <n v="0.18"/>
    <s v="Credit Card"/>
    <x v="66"/>
  </r>
  <r>
    <s v="SALE67"/>
    <d v="2023-11-25T00:00:00"/>
    <s v="CUST1483"/>
    <s v="PROD12"/>
    <x v="17"/>
    <n v="1"/>
    <n v="989.17"/>
    <n v="0.2"/>
    <s v="PayPal"/>
    <x v="67"/>
  </r>
  <r>
    <s v="SALE68"/>
    <d v="2023-12-10T00:00:00"/>
    <s v="CUST1372"/>
    <s v="PROD72"/>
    <x v="15"/>
    <n v="4"/>
    <n v="62.48"/>
    <n v="0.18"/>
    <s v="Credit Card"/>
    <x v="68"/>
  </r>
  <r>
    <s v="SALE69"/>
    <d v="2025-08-28T00:00:00"/>
    <s v="CUST1423"/>
    <s v="PROD13"/>
    <x v="9"/>
    <n v="4"/>
    <n v="561.24"/>
    <n v="0.24"/>
    <s v="Credit Card"/>
    <x v="69"/>
  </r>
  <r>
    <s v="SALE70"/>
    <d v="2025-07-11T00:00:00"/>
    <s v="CUST1058"/>
    <s v="PROD60"/>
    <x v="3"/>
    <n v="3"/>
    <n v="92.24"/>
    <n v="0.28000000000000003"/>
    <s v="COD"/>
    <x v="64"/>
  </r>
  <r>
    <s v="SALE71"/>
    <d v="2025-08-20T00:00:00"/>
    <s v="CUST1168"/>
    <s v="PROD72"/>
    <x v="8"/>
    <n v="2"/>
    <n v="668.3"/>
    <n v="7.0000000000000007E-2"/>
    <s v="Credit Card"/>
    <x v="70"/>
  </r>
  <r>
    <s v="SALE72"/>
    <d v="2024-08-29T00:00:00"/>
    <s v="CUST1409"/>
    <s v="PROD38"/>
    <x v="3"/>
    <n v="1"/>
    <n v="553.82000000000005"/>
    <n v="0.09"/>
    <s v="Credit Card"/>
    <x v="71"/>
  </r>
  <r>
    <s v="SALE73"/>
    <d v="2024-11-30T00:00:00"/>
    <s v="CUST1037"/>
    <s v="PROD45"/>
    <x v="19"/>
    <n v="2"/>
    <n v="556.42999999999995"/>
    <n v="0.13"/>
    <s v="Credit Card"/>
    <x v="72"/>
  </r>
  <r>
    <s v="SALE74"/>
    <d v="2025-10-12T00:00:00"/>
    <s v="CUST1273"/>
    <s v="PROD20"/>
    <x v="2"/>
    <n v="1"/>
    <n v="184.98"/>
    <n v="0.1"/>
    <s v="COD"/>
    <x v="73"/>
  </r>
  <r>
    <s v="SALE75"/>
    <d v="2024-07-27T00:00:00"/>
    <s v="CUST1035"/>
    <s v="PROD97"/>
    <x v="18"/>
    <n v="4"/>
    <n v="700.18"/>
    <n v="0.23"/>
    <s v="Credit Card"/>
    <x v="74"/>
  </r>
  <r>
    <s v="SALE76"/>
    <d v="2023-12-25T00:00:00"/>
    <s v="CUST1019"/>
    <s v="PROD76"/>
    <x v="15"/>
    <n v="2"/>
    <n v="686.31"/>
    <n v="0.25"/>
    <s v="Credit Card"/>
    <x v="75"/>
  </r>
  <r>
    <s v="SALE77"/>
    <d v="2025-05-23T00:00:00"/>
    <s v="CUST1007"/>
    <s v="PROD67"/>
    <x v="10"/>
    <n v="1"/>
    <n v="687.82"/>
    <n v="0.27"/>
    <s v="COD"/>
    <x v="76"/>
  </r>
  <r>
    <s v="SALE78"/>
    <d v="2024-11-13T00:00:00"/>
    <s v="CUST1221"/>
    <s v="PROD83"/>
    <x v="2"/>
    <n v="2"/>
    <n v="900.55"/>
    <n v="0.16"/>
    <s v="Credit Card"/>
    <x v="77"/>
  </r>
  <r>
    <s v="SALE79"/>
    <d v="2023-12-08T00:00:00"/>
    <s v="CUST1115"/>
    <s v="PROD21"/>
    <x v="17"/>
    <n v="1"/>
    <n v="341.17"/>
    <n v="0.15"/>
    <s v="Credit Card"/>
    <x v="78"/>
  </r>
  <r>
    <s v="SALE80"/>
    <d v="2025-08-16T00:00:00"/>
    <s v="CUST1176"/>
    <s v="PROD52"/>
    <x v="2"/>
    <n v="1"/>
    <n v="442.27"/>
    <n v="0.06"/>
    <s v="COD"/>
    <x v="79"/>
  </r>
  <r>
    <s v="SALE81"/>
    <d v="2024-11-20T00:00:00"/>
    <s v="CUST1253"/>
    <s v="PROD71"/>
    <x v="11"/>
    <n v="1"/>
    <n v="363.73"/>
    <n v="0.25"/>
    <s v="PayPal"/>
    <x v="80"/>
  </r>
  <r>
    <s v="SALE82"/>
    <d v="2024-08-14T00:00:00"/>
    <s v="CUST1378"/>
    <s v="PROD91"/>
    <x v="1"/>
    <n v="2"/>
    <n v="601.33000000000004"/>
    <n v="0.16"/>
    <s v="PayPal"/>
    <x v="81"/>
  </r>
  <r>
    <s v="SALE83"/>
    <d v="2024-05-15T00:00:00"/>
    <s v="CUST1403"/>
    <s v="PROD17"/>
    <x v="14"/>
    <n v="4"/>
    <n v="34.39"/>
    <n v="0.03"/>
    <s v="PayPal"/>
    <x v="82"/>
  </r>
  <r>
    <s v="SALE84"/>
    <d v="2023-12-08T00:00:00"/>
    <s v="CUST1423"/>
    <s v="PROD46"/>
    <x v="1"/>
    <n v="1"/>
    <n v="773.57"/>
    <n v="0.05"/>
    <s v="COD"/>
    <x v="64"/>
  </r>
  <r>
    <s v="SALE85"/>
    <d v="2023-12-22T00:00:00"/>
    <s v="CUST1054"/>
    <s v="PROD88"/>
    <x v="4"/>
    <n v="4"/>
    <n v="127.1"/>
    <n v="0.24"/>
    <s v="COD"/>
    <x v="83"/>
  </r>
  <r>
    <s v="SALE86"/>
    <d v="2024-09-10T00:00:00"/>
    <s v="CUST1303"/>
    <s v="PROD20"/>
    <x v="0"/>
    <n v="3"/>
    <n v="899.58"/>
    <n v="0.28000000000000003"/>
    <s v="PayPal"/>
    <x v="84"/>
  </r>
  <r>
    <s v="SALE87"/>
    <d v="2025-04-08T00:00:00"/>
    <s v="CUST1327"/>
    <s v="PROD1"/>
    <x v="15"/>
    <n v="3"/>
    <n v="964.39"/>
    <n v="0.04"/>
    <s v="Credit Card"/>
    <x v="85"/>
  </r>
  <r>
    <s v="SALE88"/>
    <d v="2024-10-23T00:00:00"/>
    <s v="CUST1183"/>
    <s v="PROD38"/>
    <x v="6"/>
    <n v="2"/>
    <n v="217.83"/>
    <n v="0.14000000000000001"/>
    <s v="PayPal"/>
    <x v="86"/>
  </r>
  <r>
    <s v="SALE89"/>
    <d v="2025-07-10T00:00:00"/>
    <s v="CUST1143"/>
    <s v="PROD17"/>
    <x v="8"/>
    <n v="4"/>
    <n v="187.71"/>
    <n v="0.06"/>
    <s v="COD"/>
    <x v="87"/>
  </r>
  <r>
    <s v="SALE90"/>
    <d v="2024-10-12T00:00:00"/>
    <s v="CUST1010"/>
    <s v="PROD33"/>
    <x v="14"/>
    <n v="2"/>
    <n v="350.12"/>
    <n v="0.12"/>
    <s v="COD"/>
    <x v="88"/>
  </r>
  <r>
    <s v="SALE91"/>
    <d v="2024-01-21T00:00:00"/>
    <s v="CUST1406"/>
    <s v="PROD16"/>
    <x v="8"/>
    <n v="4"/>
    <n v="102.19"/>
    <n v="0.17"/>
    <s v="PayPal"/>
    <x v="89"/>
  </r>
  <r>
    <s v="SALE92"/>
    <d v="2024-02-28T00:00:00"/>
    <s v="CUST1007"/>
    <s v="PROD86"/>
    <x v="5"/>
    <n v="1"/>
    <n v="696.53"/>
    <n v="0.17"/>
    <s v="Credit Card"/>
    <x v="90"/>
  </r>
  <r>
    <s v="SALE93"/>
    <d v="2024-12-31T00:00:00"/>
    <s v="CUST1065"/>
    <s v="PROD19"/>
    <x v="5"/>
    <n v="2"/>
    <n v="327.52"/>
    <n v="0.15"/>
    <s v="PayPal"/>
    <x v="91"/>
  </r>
  <r>
    <s v="SALE94"/>
    <d v="2024-08-26T00:00:00"/>
    <s v="CUST1298"/>
    <s v="PROD97"/>
    <x v="12"/>
    <n v="2"/>
    <n v="569.36"/>
    <n v="0.01"/>
    <s v="PayPal"/>
    <x v="64"/>
  </r>
  <r>
    <s v="SALE95"/>
    <d v="2024-09-21T00:00:00"/>
    <s v="CUST1321"/>
    <s v="PROD99"/>
    <x v="16"/>
    <n v="2"/>
    <n v="68.290000000000006"/>
    <n v="0.14000000000000001"/>
    <s v="COD"/>
    <x v="92"/>
  </r>
  <r>
    <s v="SALE96"/>
    <d v="2024-08-19T00:00:00"/>
    <s v="CUST1244"/>
    <s v="PROD50"/>
    <x v="15"/>
    <n v="1"/>
    <n v="842.9"/>
    <n v="0.06"/>
    <s v="COD"/>
    <x v="93"/>
  </r>
  <r>
    <s v="SALE97"/>
    <d v="2024-10-22T00:00:00"/>
    <s v="CUST1287"/>
    <s v="PROD3"/>
    <x v="0"/>
    <n v="3"/>
    <n v="751.94"/>
    <n v="0.26"/>
    <s v="PayPal"/>
    <x v="94"/>
  </r>
  <r>
    <s v="SALE98"/>
    <d v="2024-10-15T00:00:00"/>
    <s v="CUST1131"/>
    <s v="PROD56"/>
    <x v="4"/>
    <n v="4"/>
    <n v="476.28"/>
    <n v="0.17"/>
    <s v="Credit Card"/>
    <x v="95"/>
  </r>
  <r>
    <s v="SALE99"/>
    <d v="2024-07-06T00:00:00"/>
    <s v="CUST1325"/>
    <s v="PROD54"/>
    <x v="0"/>
    <n v="3"/>
    <n v="541.99"/>
    <n v="0.24"/>
    <s v="COD"/>
    <x v="96"/>
  </r>
  <r>
    <s v="SALE100"/>
    <d v="2025-01-20T00:00:00"/>
    <s v="CUST1369"/>
    <s v="PROD33"/>
    <x v="3"/>
    <n v="2"/>
    <n v="401.5"/>
    <n v="0.18"/>
    <s v="Credit Card"/>
    <x v="97"/>
  </r>
  <r>
    <s v="SALE101"/>
    <d v="2024-06-10T00:00:00"/>
    <s v="CUST1084"/>
    <s v="PROD25"/>
    <x v="13"/>
    <n v="3"/>
    <n v="359.56"/>
    <n v="0.17"/>
    <s v="PayPal"/>
    <x v="98"/>
  </r>
  <r>
    <s v="SALE102"/>
    <d v="2024-09-17T00:00:00"/>
    <s v="CUST1097"/>
    <s v="PROD80"/>
    <x v="18"/>
    <n v="2"/>
    <n v="471.88"/>
    <n v="0.24"/>
    <s v="PayPal"/>
    <x v="99"/>
  </r>
  <r>
    <s v="SALE103"/>
    <d v="2025-09-07T00:00:00"/>
    <s v="CUST1182"/>
    <s v="PROD34"/>
    <x v="5"/>
    <n v="4"/>
    <n v="925.19"/>
    <n v="0.19"/>
    <s v="PayPal"/>
    <x v="100"/>
  </r>
  <r>
    <s v="SALE104"/>
    <d v="2024-02-08T00:00:00"/>
    <s v="CUST1029"/>
    <s v="PROD86"/>
    <x v="19"/>
    <n v="2"/>
    <n v="879.63"/>
    <n v="7.0000000000000007E-2"/>
    <s v="COD"/>
    <x v="101"/>
  </r>
  <r>
    <s v="SALE105"/>
    <d v="2023-10-15T00:00:00"/>
    <s v="CUST1002"/>
    <s v="PROD79"/>
    <x v="1"/>
    <n v="2"/>
    <n v="418.23"/>
    <n v="0.28000000000000003"/>
    <s v="Credit Card"/>
    <x v="102"/>
  </r>
  <r>
    <s v="SALE106"/>
    <d v="2025-08-22T00:00:00"/>
    <s v="CUST1269"/>
    <s v="PROD19"/>
    <x v="14"/>
    <n v="3"/>
    <n v="551.72"/>
    <n v="0.03"/>
    <s v="COD"/>
    <x v="103"/>
  </r>
  <r>
    <s v="SALE107"/>
    <d v="2024-02-01T00:00:00"/>
    <s v="CUST1338"/>
    <s v="PROD86"/>
    <x v="4"/>
    <n v="4"/>
    <n v="525.61"/>
    <n v="0.02"/>
    <s v="PayPal"/>
    <x v="104"/>
  </r>
  <r>
    <s v="SALE108"/>
    <d v="2025-05-08T00:00:00"/>
    <s v="CUST1041"/>
    <s v="PROD22"/>
    <x v="13"/>
    <n v="3"/>
    <n v="815.3"/>
    <n v="0.03"/>
    <s v="Credit Card"/>
    <x v="105"/>
  </r>
  <r>
    <s v="SALE109"/>
    <d v="2025-03-22T00:00:00"/>
    <s v="CUST1214"/>
    <s v="PROD91"/>
    <x v="6"/>
    <n v="3"/>
    <n v="376.46"/>
    <n v="0.09"/>
    <s v="COD"/>
    <x v="106"/>
  </r>
  <r>
    <s v="SALE110"/>
    <d v="2025-07-13T00:00:00"/>
    <s v="CUST1007"/>
    <s v="PROD42"/>
    <x v="2"/>
    <n v="4"/>
    <n v="239.83"/>
    <n v="0.08"/>
    <s v="Credit Card"/>
    <x v="107"/>
  </r>
  <r>
    <s v="SALE111"/>
    <d v="2025-05-21T00:00:00"/>
    <s v="CUST1119"/>
    <s v="PROD90"/>
    <x v="0"/>
    <n v="2"/>
    <n v="845.71"/>
    <n v="0.01"/>
    <s v="PayPal"/>
    <x v="108"/>
  </r>
  <r>
    <s v="SALE112"/>
    <d v="2025-02-17T00:00:00"/>
    <s v="CUST1087"/>
    <s v="PROD76"/>
    <x v="13"/>
    <n v="3"/>
    <n v="948.69"/>
    <n v="0.28999999999999998"/>
    <s v="Credit Card"/>
    <x v="109"/>
  </r>
  <r>
    <s v="SALE113"/>
    <d v="2024-05-01T00:00:00"/>
    <s v="CUST1467"/>
    <s v="PROD27"/>
    <x v="15"/>
    <n v="1"/>
    <n v="281.97000000000003"/>
    <n v="0.2"/>
    <s v="PayPal"/>
    <x v="110"/>
  </r>
  <r>
    <s v="SALE114"/>
    <d v="2024-07-09T00:00:00"/>
    <s v="CUST1152"/>
    <s v="PROD91"/>
    <x v="5"/>
    <n v="2"/>
    <n v="731.01"/>
    <n v="0.05"/>
    <s v="PayPal"/>
    <x v="111"/>
  </r>
  <r>
    <s v="SALE115"/>
    <d v="2025-09-25T00:00:00"/>
    <s v="CUST1257"/>
    <s v="PROD85"/>
    <x v="4"/>
    <n v="4"/>
    <n v="930.85"/>
    <n v="0.13"/>
    <s v="PayPal"/>
    <x v="112"/>
  </r>
  <r>
    <s v="SALE116"/>
    <d v="2024-05-08T00:00:00"/>
    <s v="CUST1419"/>
    <s v="PROD3"/>
    <x v="2"/>
    <n v="4"/>
    <n v="770.77"/>
    <n v="0.22"/>
    <s v="Credit Card"/>
    <x v="113"/>
  </r>
  <r>
    <s v="SALE117"/>
    <d v="2024-09-19T00:00:00"/>
    <s v="CUST1067"/>
    <s v="PROD46"/>
    <x v="5"/>
    <n v="3"/>
    <n v="479.63"/>
    <n v="0.3"/>
    <s v="PayPal"/>
    <x v="114"/>
  </r>
  <r>
    <s v="SALE118"/>
    <d v="2024-04-23T00:00:00"/>
    <s v="CUST1105"/>
    <s v="PROD39"/>
    <x v="19"/>
    <n v="1"/>
    <n v="165"/>
    <n v="0.3"/>
    <s v="COD"/>
    <x v="115"/>
  </r>
  <r>
    <s v="SALE119"/>
    <d v="2024-07-30T00:00:00"/>
    <s v="CUST1158"/>
    <s v="PROD19"/>
    <x v="2"/>
    <n v="2"/>
    <n v="151.51"/>
    <n v="0.28999999999999998"/>
    <s v="COD"/>
    <x v="116"/>
  </r>
  <r>
    <s v="SALE120"/>
    <d v="2023-12-14T00:00:00"/>
    <s v="CUST1231"/>
    <s v="PROD31"/>
    <x v="1"/>
    <n v="2"/>
    <n v="872.93"/>
    <n v="0.28999999999999998"/>
    <s v="COD"/>
    <x v="117"/>
  </r>
  <r>
    <s v="SALE121"/>
    <d v="2024-09-23T00:00:00"/>
    <s v="CUST1264"/>
    <s v="PROD22"/>
    <x v="15"/>
    <n v="3"/>
    <n v="432.4"/>
    <n v="0.04"/>
    <s v="Credit Card"/>
    <x v="118"/>
  </r>
  <r>
    <s v="SALE122"/>
    <d v="2025-08-17T00:00:00"/>
    <s v="CUST1338"/>
    <s v="PROD50"/>
    <x v="4"/>
    <n v="2"/>
    <n v="197.76"/>
    <n v="0.04"/>
    <s v="Credit Card"/>
    <x v="119"/>
  </r>
  <r>
    <s v="SALE123"/>
    <d v="2025-01-17T00:00:00"/>
    <s v="CUST1476"/>
    <s v="PROD40"/>
    <x v="17"/>
    <n v="3"/>
    <n v="334.6"/>
    <n v="0.11"/>
    <s v="PayPal"/>
    <x v="120"/>
  </r>
  <r>
    <s v="SALE124"/>
    <d v="2025-04-30T00:00:00"/>
    <s v="CUST1087"/>
    <s v="PROD14"/>
    <x v="0"/>
    <n v="2"/>
    <n v="44.35"/>
    <n v="0.2"/>
    <s v="COD"/>
    <x v="121"/>
  </r>
  <r>
    <s v="SALE125"/>
    <d v="2024-11-02T00:00:00"/>
    <s v="CUST1498"/>
    <s v="PROD8"/>
    <x v="16"/>
    <n v="1"/>
    <n v="846.31"/>
    <n v="0.05"/>
    <s v="PayPal"/>
    <x v="122"/>
  </r>
  <r>
    <s v="SALE126"/>
    <d v="2025-08-15T00:00:00"/>
    <s v="CUST1131"/>
    <s v="PROD35"/>
    <x v="18"/>
    <n v="1"/>
    <n v="996.48"/>
    <n v="7.0000000000000007E-2"/>
    <s v="COD"/>
    <x v="123"/>
  </r>
  <r>
    <s v="SALE127"/>
    <d v="2025-09-16T00:00:00"/>
    <s v="CUST1277"/>
    <s v="PROD93"/>
    <x v="16"/>
    <n v="3"/>
    <n v="949.19"/>
    <n v="0.03"/>
    <s v="COD"/>
    <x v="124"/>
  </r>
  <r>
    <s v="SALE128"/>
    <d v="2024-02-25T00:00:00"/>
    <s v="CUST1397"/>
    <s v="PROD94"/>
    <x v="11"/>
    <n v="2"/>
    <n v="724.97"/>
    <n v="0.1"/>
    <s v="Credit Card"/>
    <x v="125"/>
  </r>
  <r>
    <s v="SALE129"/>
    <d v="2025-03-07T00:00:00"/>
    <s v="CUST1315"/>
    <s v="PROD1"/>
    <x v="9"/>
    <n v="1"/>
    <n v="783.25"/>
    <n v="0.3"/>
    <s v="Credit Card"/>
    <x v="126"/>
  </r>
  <r>
    <s v="SALE130"/>
    <d v="2024-07-22T00:00:00"/>
    <s v="CUST1343"/>
    <s v="PROD17"/>
    <x v="0"/>
    <n v="1"/>
    <n v="942.38"/>
    <n v="0.17"/>
    <s v="Credit Card"/>
    <x v="127"/>
  </r>
  <r>
    <s v="SALE131"/>
    <d v="2024-06-01T00:00:00"/>
    <s v="CUST1496"/>
    <s v="PROD51"/>
    <x v="19"/>
    <n v="3"/>
    <n v="298.35000000000002"/>
    <n v="0.05"/>
    <s v="COD"/>
    <x v="128"/>
  </r>
  <r>
    <s v="SALE132"/>
    <d v="2025-01-05T00:00:00"/>
    <s v="CUST1164"/>
    <s v="PROD48"/>
    <x v="18"/>
    <n v="4"/>
    <n v="950.04"/>
    <n v="0.13"/>
    <s v="PayPal"/>
    <x v="129"/>
  </r>
  <r>
    <s v="SALE133"/>
    <d v="2025-09-10T00:00:00"/>
    <s v="CUST1329"/>
    <s v="PROD57"/>
    <x v="5"/>
    <n v="2"/>
    <n v="267.19"/>
    <n v="7.0000000000000007E-2"/>
    <s v="Credit Card"/>
    <x v="130"/>
  </r>
  <r>
    <s v="SALE134"/>
    <d v="2025-06-19T00:00:00"/>
    <s v="CUST1201"/>
    <s v="PROD87"/>
    <x v="10"/>
    <n v="4"/>
    <n v="72.63"/>
    <n v="0.06"/>
    <s v="PayPal"/>
    <x v="131"/>
  </r>
  <r>
    <s v="SALE135"/>
    <d v="2024-09-09T00:00:00"/>
    <s v="CUST1427"/>
    <s v="PROD53"/>
    <x v="3"/>
    <n v="3"/>
    <n v="576.52"/>
    <n v="0.22"/>
    <s v="COD"/>
    <x v="132"/>
  </r>
  <r>
    <s v="SALE136"/>
    <d v="2025-04-04T00:00:00"/>
    <s v="CUST1349"/>
    <s v="PROD71"/>
    <x v="11"/>
    <n v="3"/>
    <n v="849.36"/>
    <n v="0.03"/>
    <s v="Credit Card"/>
    <x v="133"/>
  </r>
  <r>
    <s v="SALE137"/>
    <d v="2024-04-10T00:00:00"/>
    <s v="CUST1473"/>
    <s v="PROD50"/>
    <x v="16"/>
    <n v="1"/>
    <n v="245.85"/>
    <n v="0.18"/>
    <s v="COD"/>
    <x v="134"/>
  </r>
  <r>
    <s v="SALE138"/>
    <d v="2024-10-24T00:00:00"/>
    <s v="CUST1178"/>
    <s v="PROD97"/>
    <x v="15"/>
    <n v="3"/>
    <n v="237.68"/>
    <n v="0.1"/>
    <s v="COD"/>
    <x v="135"/>
  </r>
  <r>
    <s v="SALE139"/>
    <d v="2025-04-09T00:00:00"/>
    <s v="CUST1337"/>
    <s v="PROD71"/>
    <x v="7"/>
    <n v="4"/>
    <n v="715.85"/>
    <n v="0.25"/>
    <s v="PayPal"/>
    <x v="136"/>
  </r>
  <r>
    <s v="SALE140"/>
    <d v="2023-11-25T00:00:00"/>
    <s v="CUST1171"/>
    <s v="PROD90"/>
    <x v="3"/>
    <n v="2"/>
    <n v="478.85"/>
    <n v="0.01"/>
    <s v="COD"/>
    <x v="137"/>
  </r>
  <r>
    <s v="SALE141"/>
    <d v="2025-03-02T00:00:00"/>
    <s v="CUST1113"/>
    <s v="PROD47"/>
    <x v="6"/>
    <n v="1"/>
    <n v="503.95"/>
    <n v="0.26"/>
    <s v="COD"/>
    <x v="138"/>
  </r>
  <r>
    <s v="SALE142"/>
    <d v="2024-10-08T00:00:00"/>
    <s v="CUST1399"/>
    <s v="PROD66"/>
    <x v="18"/>
    <n v="2"/>
    <n v="975.48"/>
    <n v="0.26"/>
    <s v="COD"/>
    <x v="139"/>
  </r>
  <r>
    <s v="SALE143"/>
    <d v="2025-08-15T00:00:00"/>
    <s v="CUST1401"/>
    <s v="PROD34"/>
    <x v="9"/>
    <n v="4"/>
    <n v="450.12"/>
    <n v="0.28999999999999998"/>
    <s v="COD"/>
    <x v="140"/>
  </r>
  <r>
    <s v="SALE144"/>
    <d v="2024-06-05T00:00:00"/>
    <s v="CUST1435"/>
    <s v="PROD36"/>
    <x v="2"/>
    <n v="3"/>
    <n v="237.24"/>
    <n v="0.24"/>
    <s v="PayPal"/>
    <x v="141"/>
  </r>
  <r>
    <s v="SALE145"/>
    <d v="2024-08-18T00:00:00"/>
    <s v="CUST1459"/>
    <s v="PROD54"/>
    <x v="10"/>
    <n v="2"/>
    <n v="536.84"/>
    <n v="0.09"/>
    <s v="COD"/>
    <x v="142"/>
  </r>
  <r>
    <s v="SALE146"/>
    <d v="2024-11-30T00:00:00"/>
    <s v="CUST1443"/>
    <s v="PROD36"/>
    <x v="12"/>
    <n v="3"/>
    <n v="584.41"/>
    <n v="0"/>
    <s v="COD"/>
    <x v="143"/>
  </r>
  <r>
    <s v="SALE147"/>
    <d v="2024-11-21T00:00:00"/>
    <s v="CUST1294"/>
    <s v="PROD82"/>
    <x v="12"/>
    <n v="1"/>
    <n v="653.87"/>
    <n v="0.14000000000000001"/>
    <s v="PayPal"/>
    <x v="144"/>
  </r>
  <r>
    <s v="SALE148"/>
    <d v="2025-08-09T00:00:00"/>
    <s v="CUST1493"/>
    <s v="PROD87"/>
    <x v="6"/>
    <n v="1"/>
    <n v="652.03"/>
    <n v="0.27"/>
    <s v="Credit Card"/>
    <x v="145"/>
  </r>
  <r>
    <s v="SALE149"/>
    <d v="2024-07-29T00:00:00"/>
    <s v="CUST1093"/>
    <s v="PROD5"/>
    <x v="18"/>
    <n v="3"/>
    <n v="513.36"/>
    <n v="7.0000000000000007E-2"/>
    <s v="COD"/>
    <x v="146"/>
  </r>
  <r>
    <s v="SALE150"/>
    <d v="2024-05-21T00:00:00"/>
    <s v="CUST1068"/>
    <s v="PROD52"/>
    <x v="3"/>
    <n v="4"/>
    <n v="355.64"/>
    <n v="0.16"/>
    <s v="COD"/>
    <x v="147"/>
  </r>
  <r>
    <s v="SALE151"/>
    <d v="2024-10-29T00:00:00"/>
    <s v="CUST1022"/>
    <s v="PROD13"/>
    <x v="2"/>
    <n v="4"/>
    <n v="535.4"/>
    <n v="0.26"/>
    <s v="PayPal"/>
    <x v="148"/>
  </r>
  <r>
    <s v="SALE152"/>
    <d v="2025-05-21T00:00:00"/>
    <s v="CUST1243"/>
    <s v="PROD69"/>
    <x v="12"/>
    <n v="2"/>
    <n v="108.74"/>
    <n v="0.11"/>
    <s v="PayPal"/>
    <x v="149"/>
  </r>
  <r>
    <s v="SALE153"/>
    <d v="2024-10-14T00:00:00"/>
    <s v="CUST1314"/>
    <s v="PROD11"/>
    <x v="12"/>
    <n v="3"/>
    <n v="591.98"/>
    <n v="0.16"/>
    <s v="Credit Card"/>
    <x v="150"/>
  </r>
  <r>
    <s v="SALE154"/>
    <d v="2024-11-17T00:00:00"/>
    <s v="CUST1405"/>
    <s v="PROD48"/>
    <x v="17"/>
    <n v="1"/>
    <n v="345.06"/>
    <n v="0.13"/>
    <s v="COD"/>
    <x v="151"/>
  </r>
  <r>
    <s v="SALE155"/>
    <d v="2025-03-29T00:00:00"/>
    <s v="CUST1307"/>
    <s v="PROD93"/>
    <x v="18"/>
    <n v="4"/>
    <n v="986.41"/>
    <n v="0.22"/>
    <s v="Credit Card"/>
    <x v="152"/>
  </r>
  <r>
    <s v="SALE156"/>
    <d v="2024-07-21T00:00:00"/>
    <s v="CUST1319"/>
    <s v="PROD49"/>
    <x v="6"/>
    <n v="2"/>
    <n v="921.52"/>
    <n v="0"/>
    <s v="PayPal"/>
    <x v="153"/>
  </r>
  <r>
    <s v="SALE157"/>
    <d v="2025-08-14T00:00:00"/>
    <s v="CUST1097"/>
    <s v="PROD55"/>
    <x v="3"/>
    <n v="1"/>
    <n v="83.1"/>
    <n v="0.04"/>
    <s v="PayPal"/>
    <x v="154"/>
  </r>
  <r>
    <s v="SALE158"/>
    <d v="2024-11-05T00:00:00"/>
    <s v="CUST1369"/>
    <s v="PROD28"/>
    <x v="19"/>
    <n v="2"/>
    <n v="60.98"/>
    <n v="0.23"/>
    <s v="PayPal"/>
    <x v="155"/>
  </r>
  <r>
    <s v="SALE159"/>
    <d v="2024-06-11T00:00:00"/>
    <s v="CUST1394"/>
    <s v="PROD89"/>
    <x v="9"/>
    <n v="2"/>
    <n v="122.23"/>
    <n v="0.21"/>
    <s v="COD"/>
    <x v="156"/>
  </r>
  <r>
    <s v="SALE160"/>
    <d v="2025-09-18T00:00:00"/>
    <s v="CUST1020"/>
    <s v="PROD70"/>
    <x v="14"/>
    <n v="2"/>
    <n v="623.38"/>
    <n v="0.13"/>
    <s v="Credit Card"/>
    <x v="157"/>
  </r>
  <r>
    <s v="SALE161"/>
    <d v="2025-03-13T00:00:00"/>
    <s v="CUST1058"/>
    <s v="PROD70"/>
    <x v="6"/>
    <n v="1"/>
    <n v="479.58"/>
    <n v="0.05"/>
    <s v="PayPal"/>
    <x v="158"/>
  </r>
  <r>
    <s v="SALE162"/>
    <d v="2023-12-16T00:00:00"/>
    <s v="CUST1298"/>
    <s v="PROD73"/>
    <x v="16"/>
    <n v="3"/>
    <n v="369.32"/>
    <n v="0.14000000000000001"/>
    <s v="PayPal"/>
    <x v="159"/>
  </r>
  <r>
    <s v="SALE163"/>
    <d v="2025-07-13T00:00:00"/>
    <s v="CUST1076"/>
    <s v="PROD32"/>
    <x v="8"/>
    <n v="1"/>
    <n v="488.31"/>
    <n v="0.03"/>
    <s v="PayPal"/>
    <x v="160"/>
  </r>
  <r>
    <s v="SALE164"/>
    <d v="2024-05-06T00:00:00"/>
    <s v="CUST1276"/>
    <s v="PROD54"/>
    <x v="18"/>
    <n v="4"/>
    <n v="164.04"/>
    <n v="0.26"/>
    <s v="Credit Card"/>
    <x v="161"/>
  </r>
  <r>
    <s v="SALE165"/>
    <d v="2024-08-04T00:00:00"/>
    <s v="CUST1073"/>
    <s v="PROD10"/>
    <x v="1"/>
    <n v="3"/>
    <n v="707.95"/>
    <n v="0.18"/>
    <s v="PayPal"/>
    <x v="162"/>
  </r>
  <r>
    <s v="SALE166"/>
    <d v="2023-12-09T00:00:00"/>
    <s v="CUST1295"/>
    <s v="PROD69"/>
    <x v="2"/>
    <n v="4"/>
    <n v="714.47"/>
    <n v="0.18"/>
    <s v="COD"/>
    <x v="163"/>
  </r>
  <r>
    <s v="SALE167"/>
    <d v="2025-07-28T00:00:00"/>
    <s v="CUST1415"/>
    <s v="PROD79"/>
    <x v="4"/>
    <n v="4"/>
    <n v="422.09"/>
    <n v="0.04"/>
    <s v="Credit Card"/>
    <x v="164"/>
  </r>
  <r>
    <s v="SALE168"/>
    <d v="2024-06-19T00:00:00"/>
    <s v="CUST1108"/>
    <s v="PROD30"/>
    <x v="11"/>
    <n v="1"/>
    <n v="998.19"/>
    <n v="0.2"/>
    <s v="Credit Card"/>
    <x v="165"/>
  </r>
  <r>
    <s v="SALE169"/>
    <d v="2024-01-22T00:00:00"/>
    <s v="CUST1373"/>
    <s v="PROD72"/>
    <x v="4"/>
    <n v="2"/>
    <n v="343.42"/>
    <n v="0.12"/>
    <s v="COD"/>
    <x v="166"/>
  </r>
  <r>
    <s v="SALE170"/>
    <d v="2024-04-08T00:00:00"/>
    <s v="CUST1256"/>
    <s v="PROD34"/>
    <x v="16"/>
    <n v="1"/>
    <n v="152.16999999999999"/>
    <n v="0.28000000000000003"/>
    <s v="COD"/>
    <x v="167"/>
  </r>
  <r>
    <s v="SALE171"/>
    <d v="2025-05-18T00:00:00"/>
    <s v="CUST1175"/>
    <s v="PROD49"/>
    <x v="19"/>
    <n v="1"/>
    <n v="325.08"/>
    <n v="0.26"/>
    <s v="PayPal"/>
    <x v="168"/>
  </r>
  <r>
    <s v="SALE172"/>
    <d v="2023-12-07T00:00:00"/>
    <s v="CUST1344"/>
    <s v="PROD89"/>
    <x v="15"/>
    <n v="2"/>
    <n v="827.92"/>
    <n v="0.25"/>
    <s v="COD"/>
    <x v="169"/>
  </r>
  <r>
    <s v="SALE173"/>
    <d v="2024-01-23T00:00:00"/>
    <s v="CUST1485"/>
    <s v="PROD26"/>
    <x v="17"/>
    <n v="2"/>
    <n v="593.47"/>
    <n v="0.1"/>
    <s v="COD"/>
    <x v="170"/>
  </r>
  <r>
    <s v="SALE174"/>
    <d v="2023-12-07T00:00:00"/>
    <s v="CUST1293"/>
    <s v="PROD20"/>
    <x v="4"/>
    <n v="4"/>
    <n v="756.28"/>
    <n v="0.05"/>
    <s v="COD"/>
    <x v="171"/>
  </r>
  <r>
    <s v="SALE175"/>
    <d v="2024-12-15T00:00:00"/>
    <s v="CUST1377"/>
    <s v="PROD92"/>
    <x v="8"/>
    <n v="2"/>
    <n v="707.65"/>
    <n v="0.14000000000000001"/>
    <s v="Credit Card"/>
    <x v="172"/>
  </r>
  <r>
    <s v="SALE176"/>
    <d v="2024-03-20T00:00:00"/>
    <s v="CUST1128"/>
    <s v="PROD25"/>
    <x v="10"/>
    <n v="1"/>
    <n v="857.35"/>
    <n v="0.28000000000000003"/>
    <s v="PayPal"/>
    <x v="173"/>
  </r>
  <r>
    <s v="SALE177"/>
    <d v="2025-01-13T00:00:00"/>
    <s v="CUST1499"/>
    <s v="PROD55"/>
    <x v="2"/>
    <n v="1"/>
    <n v="79"/>
    <n v="0.04"/>
    <s v="PayPal"/>
    <x v="174"/>
  </r>
  <r>
    <s v="SALE178"/>
    <d v="2025-08-16T00:00:00"/>
    <s v="CUST1066"/>
    <s v="PROD94"/>
    <x v="3"/>
    <n v="4"/>
    <n v="638.91"/>
    <n v="0"/>
    <s v="COD"/>
    <x v="175"/>
  </r>
  <r>
    <s v="SALE179"/>
    <d v="2025-06-04T00:00:00"/>
    <s v="CUST1081"/>
    <s v="PROD45"/>
    <x v="6"/>
    <n v="2"/>
    <n v="522.16999999999996"/>
    <n v="0.27"/>
    <s v="Credit Card"/>
    <x v="176"/>
  </r>
  <r>
    <s v="SALE180"/>
    <d v="2023-11-05T00:00:00"/>
    <s v="CUST1478"/>
    <s v="PROD39"/>
    <x v="18"/>
    <n v="3"/>
    <n v="954.29"/>
    <n v="0.27"/>
    <s v="Credit Card"/>
    <x v="177"/>
  </r>
  <r>
    <s v="SALE181"/>
    <d v="2025-02-22T00:00:00"/>
    <s v="CUST1462"/>
    <s v="PROD33"/>
    <x v="13"/>
    <n v="3"/>
    <n v="53.92"/>
    <n v="0.15"/>
    <s v="PayPal"/>
    <x v="178"/>
  </r>
  <r>
    <s v="SALE182"/>
    <d v="2025-04-06T00:00:00"/>
    <s v="CUST1396"/>
    <s v="PROD34"/>
    <x v="6"/>
    <n v="4"/>
    <n v="741.88"/>
    <n v="0.02"/>
    <s v="COD"/>
    <x v="179"/>
  </r>
  <r>
    <s v="SALE183"/>
    <d v="2024-10-29T00:00:00"/>
    <s v="CUST1033"/>
    <s v="PROD46"/>
    <x v="0"/>
    <n v="1"/>
    <n v="547.09"/>
    <n v="0.01"/>
    <s v="PayPal"/>
    <x v="180"/>
  </r>
  <r>
    <s v="SALE184"/>
    <d v="2025-01-29T00:00:00"/>
    <s v="CUST1489"/>
    <s v="PROD89"/>
    <x v="0"/>
    <n v="1"/>
    <n v="789.35"/>
    <n v="0.14000000000000001"/>
    <s v="PayPal"/>
    <x v="181"/>
  </r>
  <r>
    <s v="SALE185"/>
    <d v="2024-03-03T00:00:00"/>
    <s v="CUST1428"/>
    <s v="PROD63"/>
    <x v="0"/>
    <n v="3"/>
    <n v="476.78"/>
    <n v="0.09"/>
    <s v="COD"/>
    <x v="182"/>
  </r>
  <r>
    <s v="SALE186"/>
    <d v="2024-11-04T00:00:00"/>
    <s v="CUST1453"/>
    <s v="PROD79"/>
    <x v="14"/>
    <n v="2"/>
    <n v="504.26"/>
    <n v="0.04"/>
    <s v="PayPal"/>
    <x v="183"/>
  </r>
  <r>
    <s v="SALE187"/>
    <d v="2024-09-03T00:00:00"/>
    <s v="CUST1272"/>
    <s v="PROD81"/>
    <x v="16"/>
    <n v="2"/>
    <n v="549.33000000000004"/>
    <n v="0.01"/>
    <s v="COD"/>
    <x v="184"/>
  </r>
  <r>
    <s v="SALE188"/>
    <d v="2024-04-29T00:00:00"/>
    <s v="CUST1382"/>
    <s v="PROD4"/>
    <x v="0"/>
    <n v="3"/>
    <n v="620.22"/>
    <n v="0.04"/>
    <s v="Credit Card"/>
    <x v="185"/>
  </r>
  <r>
    <s v="SALE189"/>
    <d v="2024-04-29T00:00:00"/>
    <s v="CUST1091"/>
    <s v="PROD46"/>
    <x v="0"/>
    <n v="1"/>
    <n v="580.76"/>
    <n v="0.1"/>
    <s v="COD"/>
    <x v="186"/>
  </r>
  <r>
    <s v="SALE190"/>
    <d v="2025-04-28T00:00:00"/>
    <s v="CUST1334"/>
    <s v="PROD71"/>
    <x v="11"/>
    <n v="3"/>
    <n v="444.55"/>
    <n v="0.14000000000000001"/>
    <s v="PayPal"/>
    <x v="187"/>
  </r>
  <r>
    <s v="SALE191"/>
    <d v="2024-06-16T00:00:00"/>
    <s v="CUST1138"/>
    <s v="PROD46"/>
    <x v="14"/>
    <n v="1"/>
    <n v="804.9"/>
    <n v="0.03"/>
    <s v="PayPal"/>
    <x v="188"/>
  </r>
  <r>
    <s v="SALE192"/>
    <d v="2024-11-21T00:00:00"/>
    <s v="CUST1424"/>
    <s v="PROD92"/>
    <x v="7"/>
    <n v="3"/>
    <n v="361.65"/>
    <n v="0.15"/>
    <s v="COD"/>
    <x v="189"/>
  </r>
  <r>
    <s v="SALE193"/>
    <d v="2025-04-16T00:00:00"/>
    <s v="CUST1162"/>
    <s v="PROD7"/>
    <x v="5"/>
    <n v="1"/>
    <n v="271.76"/>
    <n v="0.03"/>
    <s v="Credit Card"/>
    <x v="190"/>
  </r>
  <r>
    <s v="SALE194"/>
    <d v="2024-11-22T00:00:00"/>
    <s v="CUST1323"/>
    <s v="PROD49"/>
    <x v="15"/>
    <n v="3"/>
    <n v="958.15"/>
    <n v="0.24"/>
    <s v="COD"/>
    <x v="191"/>
  </r>
  <r>
    <s v="SALE195"/>
    <d v="2023-12-30T00:00:00"/>
    <s v="CUST1427"/>
    <s v="PROD60"/>
    <x v="1"/>
    <n v="1"/>
    <n v="889.19"/>
    <n v="0.03"/>
    <s v="Credit Card"/>
    <x v="192"/>
  </r>
  <r>
    <s v="SALE196"/>
    <d v="2025-09-04T00:00:00"/>
    <s v="CUST1464"/>
    <s v="PROD57"/>
    <x v="9"/>
    <n v="4"/>
    <n v="689.67"/>
    <n v="0.05"/>
    <s v="COD"/>
    <x v="193"/>
  </r>
  <r>
    <s v="SALE197"/>
    <d v="2023-10-28T00:00:00"/>
    <s v="CUST1135"/>
    <s v="PROD44"/>
    <x v="19"/>
    <n v="1"/>
    <n v="541.24"/>
    <n v="0.03"/>
    <s v="PayPal"/>
    <x v="194"/>
  </r>
  <r>
    <s v="SALE198"/>
    <d v="2024-11-04T00:00:00"/>
    <s v="CUST1448"/>
    <s v="PROD81"/>
    <x v="16"/>
    <n v="1"/>
    <n v="454.71"/>
    <n v="0.16"/>
    <s v="PayPal"/>
    <x v="195"/>
  </r>
  <r>
    <s v="SALE199"/>
    <d v="2024-12-20T00:00:00"/>
    <s v="CUST1038"/>
    <s v="PROD66"/>
    <x v="3"/>
    <n v="2"/>
    <n v="397.63"/>
    <n v="0.26"/>
    <s v="Credit Card"/>
    <x v="196"/>
  </r>
  <r>
    <s v="SALE200"/>
    <d v="2025-03-09T00:00:00"/>
    <s v="CUST1170"/>
    <s v="PROD83"/>
    <x v="16"/>
    <n v="3"/>
    <n v="748.56"/>
    <n v="0.26"/>
    <s v="PayPal"/>
    <x v="197"/>
  </r>
  <r>
    <s v="SALE201"/>
    <d v="2025-03-26T00:00:00"/>
    <s v="CUST1144"/>
    <s v="PROD33"/>
    <x v="5"/>
    <n v="1"/>
    <n v="885.72"/>
    <n v="0.15"/>
    <s v="Credit Card"/>
    <x v="198"/>
  </r>
  <r>
    <s v="SALE202"/>
    <d v="2025-04-03T00:00:00"/>
    <s v="CUST1108"/>
    <s v="PROD62"/>
    <x v="8"/>
    <n v="4"/>
    <n v="408.07"/>
    <n v="0.28000000000000003"/>
    <s v="COD"/>
    <x v="199"/>
  </r>
  <r>
    <s v="SALE203"/>
    <d v="2024-02-05T00:00:00"/>
    <s v="CUST1472"/>
    <s v="PROD34"/>
    <x v="11"/>
    <n v="2"/>
    <n v="597.07000000000005"/>
    <n v="0.28000000000000003"/>
    <s v="PayPal"/>
    <x v="200"/>
  </r>
  <r>
    <s v="SALE204"/>
    <d v="2024-06-22T00:00:00"/>
    <s v="CUST1022"/>
    <s v="PROD67"/>
    <x v="11"/>
    <n v="3"/>
    <n v="723.47"/>
    <n v="0.12"/>
    <s v="COD"/>
    <x v="201"/>
  </r>
  <r>
    <s v="SALE205"/>
    <d v="2025-08-14T00:00:00"/>
    <s v="CUST1437"/>
    <s v="PROD88"/>
    <x v="3"/>
    <n v="1"/>
    <n v="479.93"/>
    <n v="0.22"/>
    <s v="Credit Card"/>
    <x v="202"/>
  </r>
  <r>
    <s v="SALE206"/>
    <d v="2024-06-02T00:00:00"/>
    <s v="CUST1243"/>
    <s v="PROD34"/>
    <x v="9"/>
    <n v="4"/>
    <n v="362.81"/>
    <n v="0.21"/>
    <s v="COD"/>
    <x v="203"/>
  </r>
  <r>
    <s v="SALE207"/>
    <d v="2024-12-14T00:00:00"/>
    <s v="CUST1185"/>
    <s v="PROD79"/>
    <x v="0"/>
    <n v="1"/>
    <n v="127.11"/>
    <n v="0.01"/>
    <s v="PayPal"/>
    <x v="204"/>
  </r>
  <r>
    <s v="SALE208"/>
    <d v="2024-04-29T00:00:00"/>
    <s v="CUST1184"/>
    <s v="PROD34"/>
    <x v="1"/>
    <n v="4"/>
    <n v="931.26"/>
    <n v="0.04"/>
    <s v="Credit Card"/>
    <x v="205"/>
  </r>
  <r>
    <s v="SALE209"/>
    <d v="2023-10-25T00:00:00"/>
    <s v="CUST1371"/>
    <s v="PROD67"/>
    <x v="2"/>
    <n v="1"/>
    <n v="620.80999999999995"/>
    <n v="0.04"/>
    <s v="PayPal"/>
    <x v="206"/>
  </r>
  <r>
    <s v="SALE210"/>
    <d v="2024-07-24T00:00:00"/>
    <s v="CUST1094"/>
    <s v="PROD50"/>
    <x v="17"/>
    <n v="1"/>
    <n v="823.26"/>
    <n v="0.27"/>
    <s v="COD"/>
    <x v="207"/>
  </r>
  <r>
    <s v="SALE211"/>
    <d v="2025-05-30T00:00:00"/>
    <s v="CUST1012"/>
    <s v="PROD27"/>
    <x v="2"/>
    <n v="3"/>
    <n v="681.01"/>
    <n v="0.27"/>
    <s v="COD"/>
    <x v="208"/>
  </r>
  <r>
    <s v="SALE212"/>
    <d v="2025-10-12T00:00:00"/>
    <s v="CUST1442"/>
    <s v="PROD56"/>
    <x v="12"/>
    <n v="4"/>
    <n v="119.83"/>
    <n v="0.13"/>
    <s v="Credit Card"/>
    <x v="209"/>
  </r>
  <r>
    <s v="SALE213"/>
    <d v="2024-01-23T00:00:00"/>
    <s v="CUST1307"/>
    <s v="PROD78"/>
    <x v="17"/>
    <n v="1"/>
    <n v="575.66"/>
    <n v="0.03"/>
    <s v="PayPal"/>
    <x v="210"/>
  </r>
  <r>
    <s v="SALE214"/>
    <d v="2025-10-13T00:00:00"/>
    <s v="CUST1199"/>
    <s v="PROD48"/>
    <x v="9"/>
    <n v="1"/>
    <n v="775.84"/>
    <n v="0.26"/>
    <s v="Credit Card"/>
    <x v="211"/>
  </r>
  <r>
    <s v="SALE215"/>
    <d v="2024-03-05T00:00:00"/>
    <s v="CUST1443"/>
    <s v="PROD14"/>
    <x v="11"/>
    <n v="3"/>
    <n v="318.43"/>
    <n v="0.05"/>
    <s v="Credit Card"/>
    <x v="212"/>
  </r>
  <r>
    <s v="SALE216"/>
    <d v="2025-07-16T00:00:00"/>
    <s v="CUST1153"/>
    <s v="PROD72"/>
    <x v="2"/>
    <n v="3"/>
    <n v="141.6"/>
    <n v="0.08"/>
    <s v="COD"/>
    <x v="213"/>
  </r>
  <r>
    <s v="SALE217"/>
    <d v="2023-10-20T00:00:00"/>
    <s v="CUST1266"/>
    <s v="PROD15"/>
    <x v="12"/>
    <n v="1"/>
    <n v="332.82"/>
    <n v="0.14000000000000001"/>
    <s v="PayPal"/>
    <x v="214"/>
  </r>
  <r>
    <s v="SALE218"/>
    <d v="2024-06-04T00:00:00"/>
    <s v="CUST1246"/>
    <s v="PROD72"/>
    <x v="8"/>
    <n v="4"/>
    <n v="640.97"/>
    <n v="0.11"/>
    <s v="COD"/>
    <x v="215"/>
  </r>
  <r>
    <s v="SALE219"/>
    <d v="2023-10-26T00:00:00"/>
    <s v="CUST1203"/>
    <s v="PROD90"/>
    <x v="10"/>
    <n v="4"/>
    <n v="75.37"/>
    <n v="0.02"/>
    <s v="COD"/>
    <x v="216"/>
  </r>
  <r>
    <s v="SALE220"/>
    <d v="2025-04-07T00:00:00"/>
    <s v="CUST1075"/>
    <s v="PROD16"/>
    <x v="14"/>
    <n v="3"/>
    <n v="434.55"/>
    <n v="0.08"/>
    <s v="COD"/>
    <x v="217"/>
  </r>
  <r>
    <s v="SALE221"/>
    <d v="2025-03-13T00:00:00"/>
    <s v="CUST1099"/>
    <s v="PROD26"/>
    <x v="7"/>
    <n v="4"/>
    <n v="652.28"/>
    <n v="0.15"/>
    <s v="Credit Card"/>
    <x v="218"/>
  </r>
  <r>
    <s v="SALE222"/>
    <d v="2024-07-07T00:00:00"/>
    <s v="CUST1269"/>
    <s v="PROD76"/>
    <x v="1"/>
    <n v="3"/>
    <n v="207.8"/>
    <n v="0.15"/>
    <s v="Credit Card"/>
    <x v="219"/>
  </r>
  <r>
    <s v="SALE223"/>
    <d v="2024-03-10T00:00:00"/>
    <s v="CUST1495"/>
    <s v="PROD61"/>
    <x v="10"/>
    <n v="4"/>
    <n v="385.5"/>
    <n v="0.03"/>
    <s v="PayPal"/>
    <x v="220"/>
  </r>
  <r>
    <s v="SALE224"/>
    <d v="2025-09-15T00:00:00"/>
    <s v="CUST1096"/>
    <s v="PROD65"/>
    <x v="16"/>
    <n v="3"/>
    <n v="548.19000000000005"/>
    <n v="0.12"/>
    <s v="Credit Card"/>
    <x v="221"/>
  </r>
  <r>
    <s v="SALE225"/>
    <d v="2024-11-11T00:00:00"/>
    <s v="CUST1069"/>
    <s v="PROD73"/>
    <x v="11"/>
    <n v="3"/>
    <n v="927.6"/>
    <n v="0.09"/>
    <s v="Credit Card"/>
    <x v="222"/>
  </r>
  <r>
    <s v="SALE226"/>
    <d v="2025-01-09T00:00:00"/>
    <s v="CUST1266"/>
    <s v="PROD61"/>
    <x v="0"/>
    <n v="4"/>
    <n v="585.04"/>
    <n v="0.22"/>
    <s v="PayPal"/>
    <x v="223"/>
  </r>
  <r>
    <s v="SALE227"/>
    <d v="2024-04-24T00:00:00"/>
    <s v="CUST1499"/>
    <s v="PROD39"/>
    <x v="17"/>
    <n v="2"/>
    <n v="999.89"/>
    <n v="0.09"/>
    <s v="Credit Card"/>
    <x v="224"/>
  </r>
  <r>
    <s v="SALE228"/>
    <d v="2023-12-24T00:00:00"/>
    <s v="CUST1107"/>
    <s v="PROD75"/>
    <x v="0"/>
    <n v="2"/>
    <n v="848.98"/>
    <n v="0.04"/>
    <s v="PayPal"/>
    <x v="225"/>
  </r>
  <r>
    <s v="SALE229"/>
    <d v="2024-02-26T00:00:00"/>
    <s v="CUST1142"/>
    <s v="PROD60"/>
    <x v="7"/>
    <n v="3"/>
    <n v="769.56"/>
    <n v="0.08"/>
    <s v="Credit Card"/>
    <x v="226"/>
  </r>
  <r>
    <s v="SALE230"/>
    <d v="2025-01-19T00:00:00"/>
    <s v="CUST1049"/>
    <s v="PROD48"/>
    <x v="13"/>
    <n v="3"/>
    <n v="449.88"/>
    <n v="0.1"/>
    <s v="PayPal"/>
    <x v="227"/>
  </r>
  <r>
    <s v="SALE231"/>
    <d v="2025-07-25T00:00:00"/>
    <s v="CUST1275"/>
    <s v="PROD69"/>
    <x v="18"/>
    <n v="4"/>
    <n v="383.74"/>
    <n v="0.01"/>
    <s v="Credit Card"/>
    <x v="228"/>
  </r>
  <r>
    <s v="SALE232"/>
    <d v="2024-04-27T00:00:00"/>
    <s v="CUST1148"/>
    <s v="PROD58"/>
    <x v="15"/>
    <n v="4"/>
    <n v="794.97"/>
    <n v="0.24"/>
    <s v="PayPal"/>
    <x v="229"/>
  </r>
  <r>
    <s v="SALE233"/>
    <d v="2025-08-11T00:00:00"/>
    <s v="CUST1010"/>
    <s v="PROD79"/>
    <x v="3"/>
    <n v="1"/>
    <n v="989.63"/>
    <n v="0.05"/>
    <s v="PayPal"/>
    <x v="230"/>
  </r>
  <r>
    <s v="SALE234"/>
    <d v="2025-03-15T00:00:00"/>
    <s v="CUST1335"/>
    <s v="PROD54"/>
    <x v="6"/>
    <n v="1"/>
    <n v="447.16"/>
    <n v="0.22"/>
    <s v="COD"/>
    <x v="231"/>
  </r>
  <r>
    <s v="SALE235"/>
    <d v="2025-01-14T00:00:00"/>
    <s v="CUST1008"/>
    <s v="PROD94"/>
    <x v="16"/>
    <n v="1"/>
    <n v="946.9"/>
    <n v="0.28999999999999998"/>
    <s v="COD"/>
    <x v="232"/>
  </r>
  <r>
    <s v="SALE236"/>
    <d v="2025-06-01T00:00:00"/>
    <s v="CUST1169"/>
    <s v="PROD17"/>
    <x v="6"/>
    <n v="4"/>
    <n v="469.68"/>
    <n v="0.19"/>
    <s v="Credit Card"/>
    <x v="233"/>
  </r>
  <r>
    <s v="SALE237"/>
    <d v="2024-09-24T00:00:00"/>
    <s v="CUST1494"/>
    <s v="PROD28"/>
    <x v="1"/>
    <n v="4"/>
    <n v="320.64"/>
    <n v="0.2"/>
    <s v="COD"/>
    <x v="234"/>
  </r>
  <r>
    <s v="SALE238"/>
    <d v="2023-11-23T00:00:00"/>
    <s v="CUST1135"/>
    <s v="PROD15"/>
    <x v="3"/>
    <n v="1"/>
    <n v="594.44000000000005"/>
    <n v="0.21"/>
    <s v="Credit Card"/>
    <x v="235"/>
  </r>
  <r>
    <s v="SALE239"/>
    <d v="2025-07-23T00:00:00"/>
    <s v="CUST1216"/>
    <s v="PROD86"/>
    <x v="2"/>
    <n v="3"/>
    <n v="91.7"/>
    <n v="0.08"/>
    <s v="COD"/>
    <x v="236"/>
  </r>
  <r>
    <s v="SALE240"/>
    <d v="2025-09-17T00:00:00"/>
    <s v="CUST1031"/>
    <s v="PROD62"/>
    <x v="18"/>
    <n v="3"/>
    <n v="741.33"/>
    <n v="0.03"/>
    <s v="Credit Card"/>
    <x v="237"/>
  </r>
  <r>
    <s v="SALE241"/>
    <d v="2025-04-07T00:00:00"/>
    <s v="CUST1476"/>
    <s v="PROD16"/>
    <x v="12"/>
    <n v="1"/>
    <n v="922.78"/>
    <n v="0.28999999999999998"/>
    <s v="COD"/>
    <x v="238"/>
  </r>
  <r>
    <s v="SALE242"/>
    <d v="2024-01-21T00:00:00"/>
    <s v="CUST1325"/>
    <s v="PROD8"/>
    <x v="9"/>
    <n v="1"/>
    <n v="394.35"/>
    <n v="0.09"/>
    <s v="PayPal"/>
    <x v="239"/>
  </r>
  <r>
    <s v="SALE243"/>
    <d v="2024-07-07T00:00:00"/>
    <s v="CUST1364"/>
    <s v="PROD65"/>
    <x v="19"/>
    <n v="2"/>
    <n v="703.95"/>
    <n v="0.03"/>
    <s v="Credit Card"/>
    <x v="240"/>
  </r>
  <r>
    <s v="SALE244"/>
    <d v="2025-05-03T00:00:00"/>
    <s v="CUST1200"/>
    <s v="PROD14"/>
    <x v="6"/>
    <n v="4"/>
    <n v="452.67"/>
    <n v="0.28000000000000003"/>
    <s v="PayPal"/>
    <x v="241"/>
  </r>
  <r>
    <s v="SALE245"/>
    <d v="2024-02-27T00:00:00"/>
    <s v="CUST1463"/>
    <s v="PROD8"/>
    <x v="4"/>
    <n v="2"/>
    <n v="377.3"/>
    <n v="0.15"/>
    <s v="PayPal"/>
    <x v="242"/>
  </r>
  <r>
    <s v="SALE246"/>
    <d v="2025-07-08T00:00:00"/>
    <s v="CUST1344"/>
    <s v="PROD74"/>
    <x v="4"/>
    <n v="2"/>
    <n v="130.47999999999999"/>
    <n v="0.23"/>
    <s v="PayPal"/>
    <x v="243"/>
  </r>
  <r>
    <s v="SALE247"/>
    <d v="2025-03-13T00:00:00"/>
    <s v="CUST1435"/>
    <s v="PROD94"/>
    <x v="18"/>
    <n v="1"/>
    <n v="809.45"/>
    <n v="0.09"/>
    <s v="COD"/>
    <x v="244"/>
  </r>
  <r>
    <s v="SALE248"/>
    <d v="2025-04-21T00:00:00"/>
    <s v="CUST1083"/>
    <s v="PROD45"/>
    <x v="11"/>
    <n v="3"/>
    <n v="499.12"/>
    <n v="0.05"/>
    <s v="PayPal"/>
    <x v="245"/>
  </r>
  <r>
    <s v="SALE249"/>
    <d v="2024-11-10T00:00:00"/>
    <s v="CUST1023"/>
    <s v="PROD68"/>
    <x v="0"/>
    <n v="2"/>
    <n v="894.58"/>
    <n v="0.25"/>
    <s v="Credit Card"/>
    <x v="246"/>
  </r>
  <r>
    <s v="SALE250"/>
    <d v="2024-08-09T00:00:00"/>
    <s v="CUST1131"/>
    <s v="PROD75"/>
    <x v="11"/>
    <n v="4"/>
    <n v="578.39"/>
    <n v="0.01"/>
    <s v="Credit Card"/>
    <x v="247"/>
  </r>
  <r>
    <s v="SALE251"/>
    <d v="2024-03-05T00:00:00"/>
    <s v="CUST1485"/>
    <s v="PROD41"/>
    <x v="1"/>
    <n v="4"/>
    <n v="982.45"/>
    <n v="0.2"/>
    <s v="PayPal"/>
    <x v="248"/>
  </r>
  <r>
    <s v="SALE252"/>
    <d v="2025-09-25T00:00:00"/>
    <s v="CUST1449"/>
    <s v="PROD98"/>
    <x v="12"/>
    <n v="1"/>
    <n v="549.52"/>
    <n v="0.1"/>
    <s v="PayPal"/>
    <x v="249"/>
  </r>
  <r>
    <s v="SALE253"/>
    <d v="2025-08-07T00:00:00"/>
    <s v="CUST1240"/>
    <s v="PROD92"/>
    <x v="14"/>
    <n v="2"/>
    <n v="239.92"/>
    <n v="0.16"/>
    <s v="Credit Card"/>
    <x v="250"/>
  </r>
  <r>
    <s v="SALE254"/>
    <d v="2024-02-16T00:00:00"/>
    <s v="CUST1082"/>
    <s v="PROD92"/>
    <x v="16"/>
    <n v="2"/>
    <n v="878.05"/>
    <n v="0.11"/>
    <s v="PayPal"/>
    <x v="251"/>
  </r>
  <r>
    <s v="SALE255"/>
    <d v="2025-03-30T00:00:00"/>
    <s v="CUST1044"/>
    <s v="PROD1"/>
    <x v="11"/>
    <n v="3"/>
    <n v="546.96"/>
    <n v="0.19"/>
    <s v="Credit Card"/>
    <x v="252"/>
  </r>
  <r>
    <s v="SALE256"/>
    <d v="2025-02-18T00:00:00"/>
    <s v="CUST1471"/>
    <s v="PROD17"/>
    <x v="15"/>
    <n v="2"/>
    <n v="71.77"/>
    <n v="0.22"/>
    <s v="Credit Card"/>
    <x v="253"/>
  </r>
  <r>
    <s v="SALE257"/>
    <d v="2025-03-01T00:00:00"/>
    <s v="CUST1013"/>
    <s v="PROD24"/>
    <x v="8"/>
    <n v="2"/>
    <n v="679.86"/>
    <n v="0.22"/>
    <s v="COD"/>
    <x v="254"/>
  </r>
  <r>
    <s v="SALE258"/>
    <d v="2024-01-09T00:00:00"/>
    <s v="CUST1136"/>
    <s v="PROD35"/>
    <x v="1"/>
    <n v="1"/>
    <n v="222.94"/>
    <n v="0.19"/>
    <s v="Credit Card"/>
    <x v="255"/>
  </r>
  <r>
    <s v="SALE259"/>
    <d v="2025-04-26T00:00:00"/>
    <s v="CUST1248"/>
    <s v="PROD35"/>
    <x v="17"/>
    <n v="2"/>
    <n v="355.3"/>
    <m/>
    <s v="PayPal"/>
    <x v="256"/>
  </r>
  <r>
    <s v="SALE260"/>
    <d v="2024-07-24T00:00:00"/>
    <s v="CUST1103"/>
    <s v="PROD89"/>
    <x v="12"/>
    <n v="4"/>
    <n v="611.29999999999995"/>
    <n v="0.11"/>
    <s v="PayPal"/>
    <x v="257"/>
  </r>
  <r>
    <s v="SALE261"/>
    <d v="2025-03-26T00:00:00"/>
    <s v="CUST1333"/>
    <s v="PROD0"/>
    <x v="2"/>
    <n v="4"/>
    <n v="849.21"/>
    <n v="7.0000000000000007E-2"/>
    <s v="Credit Card"/>
    <x v="258"/>
  </r>
  <r>
    <s v="SALE262"/>
    <d v="2025-02-25T00:00:00"/>
    <s v="CUST1209"/>
    <s v="PROD42"/>
    <x v="4"/>
    <n v="3"/>
    <n v="553.12"/>
    <n v="0.28000000000000003"/>
    <s v="COD"/>
    <x v="259"/>
  </r>
  <r>
    <s v="SALE263"/>
    <d v="2025-06-18T00:00:00"/>
    <s v="CUST1282"/>
    <s v="PROD91"/>
    <x v="11"/>
    <n v="2"/>
    <n v="903.08"/>
    <n v="0.18"/>
    <s v="COD"/>
    <x v="260"/>
  </r>
  <r>
    <s v="SALE264"/>
    <d v="2024-12-22T00:00:00"/>
    <s v="CUST1478"/>
    <s v="PROD16"/>
    <x v="19"/>
    <n v="4"/>
    <n v="640.23"/>
    <n v="0.06"/>
    <s v="COD"/>
    <x v="261"/>
  </r>
  <r>
    <s v="SALE265"/>
    <d v="2025-06-28T00:00:00"/>
    <s v="CUST1141"/>
    <s v="PROD21"/>
    <x v="16"/>
    <n v="1"/>
    <n v="518"/>
    <n v="0.25"/>
    <s v="Credit Card"/>
    <x v="262"/>
  </r>
  <r>
    <s v="SALE266"/>
    <d v="2024-05-25T00:00:00"/>
    <s v="CUST1433"/>
    <s v="PROD64"/>
    <x v="5"/>
    <n v="4"/>
    <n v="779.25"/>
    <n v="0.25"/>
    <s v="Credit Card"/>
    <x v="263"/>
  </r>
  <r>
    <s v="SALE267"/>
    <d v="2025-05-30T00:00:00"/>
    <s v="CUST1118"/>
    <s v="PROD83"/>
    <x v="4"/>
    <n v="2"/>
    <n v="467.75"/>
    <n v="0.26"/>
    <s v="Credit Card"/>
    <x v="264"/>
  </r>
  <r>
    <s v="SALE268"/>
    <d v="2024-09-20T00:00:00"/>
    <s v="CUST1406"/>
    <s v="PROD90"/>
    <x v="14"/>
    <n v="3"/>
    <m/>
    <n v="0.06"/>
    <s v="Credit Card"/>
    <x v="265"/>
  </r>
  <r>
    <s v="SALE269"/>
    <d v="2025-05-26T00:00:00"/>
    <s v="CUST1219"/>
    <s v="PROD37"/>
    <x v="6"/>
    <n v="4"/>
    <n v="747.01"/>
    <n v="0.13"/>
    <s v="PayPal"/>
    <x v="266"/>
  </r>
  <r>
    <s v="SALE270"/>
    <d v="2025-03-19T00:00:00"/>
    <s v="CUST1101"/>
    <s v="PROD89"/>
    <x v="18"/>
    <n v="4"/>
    <n v="461.83"/>
    <n v="0.28000000000000003"/>
    <s v="PayPal"/>
    <x v="267"/>
  </r>
  <r>
    <s v="SALE271"/>
    <d v="2025-04-03T00:00:00"/>
    <s v="CUST1134"/>
    <s v="PROD70"/>
    <x v="2"/>
    <n v="2"/>
    <n v="105.15"/>
    <n v="0.06"/>
    <s v="Credit Card"/>
    <x v="268"/>
  </r>
  <r>
    <s v="SALE272"/>
    <d v="2025-02-05T00:00:00"/>
    <s v="CUST1033"/>
    <s v="PROD23"/>
    <x v="0"/>
    <n v="3"/>
    <n v="610.24"/>
    <n v="0.17"/>
    <s v="COD"/>
    <x v="269"/>
  </r>
  <r>
    <s v="SALE273"/>
    <d v="2025-01-10T00:00:00"/>
    <s v="CUST1312"/>
    <s v="PROD74"/>
    <x v="2"/>
    <n v="1"/>
    <n v="872.12"/>
    <n v="7.0000000000000007E-2"/>
    <s v="PayPal"/>
    <x v="270"/>
  </r>
  <r>
    <s v="SALE274"/>
    <d v="2024-01-25T00:00:00"/>
    <s v="CUST1433"/>
    <s v="PROD10"/>
    <x v="8"/>
    <n v="1"/>
    <n v="406.79"/>
    <n v="0.03"/>
    <s v="COD"/>
    <x v="271"/>
  </r>
  <r>
    <s v="SALE275"/>
    <d v="2025-10-02T00:00:00"/>
    <s v="CUST1372"/>
    <s v="PROD54"/>
    <x v="7"/>
    <n v="1"/>
    <n v="606.01"/>
    <n v="0.04"/>
    <s v="PayPal"/>
    <x v="272"/>
  </r>
  <r>
    <s v="SALE276"/>
    <d v="2024-07-10T00:00:00"/>
    <s v="CUST1349"/>
    <s v="PROD17"/>
    <x v="3"/>
    <n v="4"/>
    <n v="322.58"/>
    <n v="0.06"/>
    <s v="Credit Card"/>
    <x v="273"/>
  </r>
  <r>
    <s v="SALE277"/>
    <d v="2025-01-04T00:00:00"/>
    <s v="CUST1484"/>
    <s v="PROD77"/>
    <x v="14"/>
    <n v="4"/>
    <n v="463.17"/>
    <n v="0.06"/>
    <s v="PayPal"/>
    <x v="274"/>
  </r>
  <r>
    <s v="SALE278"/>
    <d v="2025-05-21T00:00:00"/>
    <s v="CUST1316"/>
    <s v="PROD25"/>
    <x v="4"/>
    <n v="4"/>
    <n v="285.82"/>
    <n v="0.18"/>
    <s v="PayPal"/>
    <x v="275"/>
  </r>
  <r>
    <s v="SALE279"/>
    <d v="2025-07-30T00:00:00"/>
    <s v="CUST1326"/>
    <s v="PROD37"/>
    <x v="19"/>
    <n v="3"/>
    <n v="995.38"/>
    <n v="0.1"/>
    <s v="PayPal"/>
    <x v="276"/>
  </r>
  <r>
    <s v="SALE280"/>
    <d v="2025-04-10T00:00:00"/>
    <s v="CUST1119"/>
    <s v="PROD62"/>
    <x v="2"/>
    <n v="1"/>
    <n v="329.31"/>
    <n v="0.09"/>
    <s v="Credit Card"/>
    <x v="277"/>
  </r>
  <r>
    <s v="SALE281"/>
    <d v="2024-07-02T00:00:00"/>
    <s v="CUST1490"/>
    <s v="PROD47"/>
    <x v="9"/>
    <n v="3"/>
    <n v="64.2"/>
    <n v="0.08"/>
    <s v="COD"/>
    <x v="278"/>
  </r>
  <r>
    <s v="SALE282"/>
    <d v="2025-06-21T00:00:00"/>
    <s v="CUST1262"/>
    <s v="PROD11"/>
    <x v="13"/>
    <n v="3"/>
    <n v="697.13"/>
    <n v="0.25"/>
    <s v="COD"/>
    <x v="279"/>
  </r>
  <r>
    <s v="SALE283"/>
    <d v="2024-12-13T00:00:00"/>
    <s v="CUST1022"/>
    <s v="PROD9"/>
    <x v="3"/>
    <n v="3"/>
    <n v="134.30000000000001"/>
    <n v="0.14000000000000001"/>
    <s v="Credit Card"/>
    <x v="280"/>
  </r>
  <r>
    <s v="SALE284"/>
    <d v="2024-08-14T00:00:00"/>
    <s v="CUST1260"/>
    <s v="PROD84"/>
    <x v="13"/>
    <n v="1"/>
    <n v="520.92999999999995"/>
    <n v="0.15"/>
    <s v="Credit Card"/>
    <x v="281"/>
  </r>
  <r>
    <s v="SALE285"/>
    <d v="2025-03-05T00:00:00"/>
    <s v="CUST1225"/>
    <s v="PROD19"/>
    <x v="4"/>
    <n v="2"/>
    <n v="350.12"/>
    <n v="0.21"/>
    <s v="COD"/>
    <x v="282"/>
  </r>
  <r>
    <s v="SALE286"/>
    <d v="2024-01-17T00:00:00"/>
    <s v="CUST1466"/>
    <s v="PROD48"/>
    <x v="12"/>
    <n v="3"/>
    <n v="807.95"/>
    <n v="0.1"/>
    <s v="PayPal"/>
    <x v="283"/>
  </r>
  <r>
    <s v="SALE287"/>
    <d v="2025-08-20T00:00:00"/>
    <s v="CUST1335"/>
    <s v="PROD38"/>
    <x v="16"/>
    <n v="4"/>
    <n v="766.03"/>
    <n v="0.28999999999999998"/>
    <s v="PayPal"/>
    <x v="284"/>
  </r>
  <r>
    <s v="SALE288"/>
    <d v="2024-04-04T00:00:00"/>
    <s v="CUST1182"/>
    <s v="PROD57"/>
    <x v="2"/>
    <n v="3"/>
    <n v="545.1"/>
    <n v="0.08"/>
    <s v="COD"/>
    <x v="285"/>
  </r>
  <r>
    <s v="SALE289"/>
    <d v="2024-05-26T00:00:00"/>
    <s v="CUST1263"/>
    <s v="PROD65"/>
    <x v="4"/>
    <n v="1"/>
    <n v="203.61"/>
    <n v="0.24"/>
    <s v="COD"/>
    <x v="286"/>
  </r>
  <r>
    <s v="SALE290"/>
    <d v="2025-07-18T00:00:00"/>
    <s v="CUST1417"/>
    <s v="PROD97"/>
    <x v="10"/>
    <n v="4"/>
    <n v="493.8"/>
    <n v="0.24"/>
    <s v="COD"/>
    <x v="287"/>
  </r>
  <r>
    <s v="SALE291"/>
    <d v="2024-07-12T00:00:00"/>
    <s v="CUST1017"/>
    <s v="PROD41"/>
    <x v="1"/>
    <n v="1"/>
    <n v="640.54999999999995"/>
    <n v="0.25"/>
    <s v="Credit Card"/>
    <x v="288"/>
  </r>
  <r>
    <s v="SALE292"/>
    <d v="2024-09-10T00:00:00"/>
    <s v="CUST1119"/>
    <s v="PROD74"/>
    <x v="5"/>
    <n v="1"/>
    <n v="702.53"/>
    <n v="0.3"/>
    <s v="Credit Card"/>
    <x v="289"/>
  </r>
  <r>
    <s v="SALE293"/>
    <d v="2025-06-18T00:00:00"/>
    <s v="CUST1224"/>
    <s v="PROD39"/>
    <x v="2"/>
    <n v="4"/>
    <n v="139.94"/>
    <n v="0.24"/>
    <s v="Credit Card"/>
    <x v="290"/>
  </r>
  <r>
    <s v="SALE294"/>
    <d v="2024-12-28T00:00:00"/>
    <s v="CUST1277"/>
    <s v="PROD19"/>
    <x v="2"/>
    <n v="2"/>
    <n v="230.85"/>
    <n v="0.18"/>
    <s v="Credit Card"/>
    <x v="291"/>
  </r>
  <r>
    <s v="SALE295"/>
    <d v="2024-09-21T00:00:00"/>
    <s v="CUST1211"/>
    <s v="PROD85"/>
    <x v="1"/>
    <n v="4"/>
    <n v="626.35"/>
    <n v="0.25"/>
    <s v="COD"/>
    <x v="292"/>
  </r>
  <r>
    <s v="SALE296"/>
    <d v="2024-05-22T00:00:00"/>
    <s v="CUST1082"/>
    <s v="PROD41"/>
    <x v="7"/>
    <n v="4"/>
    <n v="108.55"/>
    <n v="0.18"/>
    <s v="PayPal"/>
    <x v="293"/>
  </r>
  <r>
    <s v="SALE297"/>
    <d v="2025-08-02T00:00:00"/>
    <s v="CUST1191"/>
    <s v="PROD17"/>
    <x v="8"/>
    <n v="4"/>
    <n v="353.67"/>
    <n v="0.03"/>
    <s v="COD"/>
    <x v="294"/>
  </r>
  <r>
    <s v="SALE298"/>
    <d v="2024-10-18T00:00:00"/>
    <s v="CUST1065"/>
    <s v="PROD90"/>
    <x v="8"/>
    <n v="4"/>
    <n v="61.98"/>
    <n v="0.16"/>
    <s v="Credit Card"/>
    <x v="295"/>
  </r>
  <r>
    <s v="SALE299"/>
    <d v="2024-02-26T00:00:00"/>
    <s v="CUST1216"/>
    <s v="PROD22"/>
    <x v="12"/>
    <n v="2"/>
    <n v="873.1"/>
    <n v="0.12"/>
    <s v="PayPal"/>
    <x v="296"/>
  </r>
  <r>
    <s v="SALE300"/>
    <d v="2023-12-08T00:00:00"/>
    <s v="CUST1198"/>
    <s v="PROD12"/>
    <x v="10"/>
    <n v="4"/>
    <n v="889.47"/>
    <n v="0.24"/>
    <s v="Credit Card"/>
    <x v="297"/>
  </r>
  <r>
    <s v="SALE301"/>
    <d v="2024-10-31T00:00:00"/>
    <s v="CUST1028"/>
    <s v="PROD74"/>
    <x v="19"/>
    <n v="3"/>
    <n v="803.76"/>
    <n v="0.19"/>
    <s v="COD"/>
    <x v="298"/>
  </r>
  <r>
    <s v="SALE302"/>
    <d v="2024-11-28T00:00:00"/>
    <s v="CUST1468"/>
    <s v="PROD75"/>
    <x v="3"/>
    <n v="2"/>
    <n v="865.14"/>
    <n v="0.2"/>
    <s v="PayPal"/>
    <x v="299"/>
  </r>
  <r>
    <s v="SALE303"/>
    <d v="2025-06-05T00:00:00"/>
    <s v="CUST1097"/>
    <s v="PROD31"/>
    <x v="11"/>
    <n v="2"/>
    <n v="916.49"/>
    <n v="0.3"/>
    <s v="COD"/>
    <x v="300"/>
  </r>
  <r>
    <s v="SALE304"/>
    <d v="2024-11-19T00:00:00"/>
    <s v="CUST1042"/>
    <s v="PROD51"/>
    <x v="18"/>
    <n v="3"/>
    <n v="781.39"/>
    <n v="0.12"/>
    <s v="Credit Card"/>
    <x v="301"/>
  </r>
  <r>
    <s v="SALE305"/>
    <d v="2024-05-19T00:00:00"/>
    <s v="CUST1211"/>
    <s v="PROD38"/>
    <x v="18"/>
    <n v="4"/>
    <n v="619.74"/>
    <n v="0.13"/>
    <s v="COD"/>
    <x v="302"/>
  </r>
  <r>
    <s v="SALE306"/>
    <d v="2025-01-22T00:00:00"/>
    <s v="CUST1481"/>
    <s v="PROD62"/>
    <x v="7"/>
    <n v="2"/>
    <n v="837.76"/>
    <n v="0.03"/>
    <s v="COD"/>
    <x v="303"/>
  </r>
  <r>
    <s v="SALE307"/>
    <d v="2025-07-04T00:00:00"/>
    <s v="CUST1451"/>
    <s v="PROD90"/>
    <x v="8"/>
    <n v="3"/>
    <n v="135.94"/>
    <n v="0.2"/>
    <s v="Credit Card"/>
    <x v="304"/>
  </r>
  <r>
    <s v="SALE308"/>
    <d v="2025-05-19T00:00:00"/>
    <s v="CUST1479"/>
    <s v="PROD74"/>
    <x v="8"/>
    <n v="4"/>
    <n v="396.53"/>
    <n v="7.0000000000000007E-2"/>
    <s v="PayPal"/>
    <x v="305"/>
  </r>
  <r>
    <s v="SALE309"/>
    <d v="2023-12-04T00:00:00"/>
    <s v="CUST1220"/>
    <s v="PROD29"/>
    <x v="7"/>
    <n v="2"/>
    <n v="722.45"/>
    <n v="0.22"/>
    <s v="PayPal"/>
    <x v="306"/>
  </r>
  <r>
    <s v="SALE310"/>
    <d v="2024-07-31T00:00:00"/>
    <s v="CUST1047"/>
    <s v="PROD64"/>
    <x v="17"/>
    <n v="2"/>
    <n v="138.41"/>
    <n v="0.02"/>
    <s v="Credit Card"/>
    <x v="307"/>
  </r>
  <r>
    <s v="SALE311"/>
    <d v="2025-01-22T00:00:00"/>
    <s v="CUST1126"/>
    <s v="PROD80"/>
    <x v="17"/>
    <n v="4"/>
    <n v="741.51"/>
    <n v="0.09"/>
    <s v="COD"/>
    <x v="308"/>
  </r>
  <r>
    <s v="SALE312"/>
    <d v="2024-11-15T00:00:00"/>
    <s v="CUST1023"/>
    <s v="PROD80"/>
    <x v="1"/>
    <n v="2"/>
    <n v="588.9"/>
    <n v="0.19"/>
    <s v="PayPal"/>
    <x v="309"/>
  </r>
  <r>
    <s v="SALE313"/>
    <d v="2024-04-07T00:00:00"/>
    <s v="CUST1304"/>
    <s v="PROD50"/>
    <x v="17"/>
    <n v="1"/>
    <n v="88.92"/>
    <n v="0.19"/>
    <s v="PayPal"/>
    <x v="310"/>
  </r>
  <r>
    <s v="SALE314"/>
    <d v="2024-02-17T00:00:00"/>
    <s v="CUST1118"/>
    <s v="PROD61"/>
    <x v="9"/>
    <n v="1"/>
    <n v="299.13"/>
    <n v="0.1"/>
    <s v="COD"/>
    <x v="311"/>
  </r>
  <r>
    <s v="SALE315"/>
    <d v="2024-05-21T00:00:00"/>
    <s v="CUST1116"/>
    <s v="PROD77"/>
    <x v="0"/>
    <n v="2"/>
    <n v="548.29999999999995"/>
    <n v="0.23"/>
    <s v="Credit Card"/>
    <x v="312"/>
  </r>
  <r>
    <s v="SALE316"/>
    <d v="2024-05-23T00:00:00"/>
    <s v="CUST1262"/>
    <s v="PROD54"/>
    <x v="15"/>
    <n v="3"/>
    <n v="977.55"/>
    <n v="0.02"/>
    <s v="PayPal"/>
    <x v="313"/>
  </r>
  <r>
    <s v="SALE317"/>
    <d v="2025-06-15T00:00:00"/>
    <s v="CUST1346"/>
    <s v="PROD44"/>
    <x v="14"/>
    <n v="1"/>
    <n v="459.42"/>
    <n v="0.28000000000000003"/>
    <s v="COD"/>
    <x v="314"/>
  </r>
  <r>
    <s v="SALE318"/>
    <d v="2025-01-06T00:00:00"/>
    <s v="CUST1088"/>
    <s v="PROD2"/>
    <x v="5"/>
    <n v="2"/>
    <n v="123.19"/>
    <n v="0.19"/>
    <s v="Credit Card"/>
    <x v="315"/>
  </r>
  <r>
    <s v="SALE319"/>
    <d v="2025-08-10T00:00:00"/>
    <s v="CUST1358"/>
    <s v="PROD55"/>
    <x v="12"/>
    <n v="1"/>
    <n v="222.95"/>
    <n v="0.02"/>
    <s v="PayPal"/>
    <x v="316"/>
  </r>
  <r>
    <s v="SALE320"/>
    <d v="2025-07-02T00:00:00"/>
    <s v="CUST1332"/>
    <s v="PROD32"/>
    <x v="5"/>
    <n v="3"/>
    <n v="601.92999999999995"/>
    <n v="0.14000000000000001"/>
    <s v="Credit Card"/>
    <x v="317"/>
  </r>
  <r>
    <s v="SALE321"/>
    <d v="2024-03-29T00:00:00"/>
    <s v="CUST1297"/>
    <s v="PROD69"/>
    <x v="17"/>
    <n v="1"/>
    <n v="564.1"/>
    <n v="0.03"/>
    <s v="Credit Card"/>
    <x v="318"/>
  </r>
  <r>
    <s v="SALE322"/>
    <d v="2025-01-15T00:00:00"/>
    <s v="CUST1095"/>
    <s v="PROD80"/>
    <x v="3"/>
    <n v="1"/>
    <n v="516.62"/>
    <n v="0.18"/>
    <s v="Credit Card"/>
    <x v="319"/>
  </r>
  <r>
    <s v="SALE323"/>
    <d v="2024-07-24T00:00:00"/>
    <s v="CUST1438"/>
    <s v="PROD63"/>
    <x v="18"/>
    <n v="1"/>
    <n v="934.75"/>
    <n v="0.11"/>
    <s v="PayPal"/>
    <x v="320"/>
  </r>
  <r>
    <s v="SALE324"/>
    <d v="2024-04-25T00:00:00"/>
    <s v="CUST1234"/>
    <s v="PROD98"/>
    <x v="4"/>
    <n v="4"/>
    <n v="548.44000000000005"/>
    <n v="0.05"/>
    <s v="PayPal"/>
    <x v="321"/>
  </r>
  <r>
    <s v="SALE325"/>
    <d v="2025-04-17T00:00:00"/>
    <s v="CUST1013"/>
    <s v="PROD37"/>
    <x v="0"/>
    <n v="3"/>
    <n v="361.11"/>
    <n v="0.06"/>
    <s v="Credit Card"/>
    <x v="322"/>
  </r>
  <r>
    <s v="SALE326"/>
    <d v="2025-09-24T00:00:00"/>
    <s v="CUST1187"/>
    <s v="PROD13"/>
    <x v="8"/>
    <n v="2"/>
    <n v="610.37"/>
    <n v="0.1"/>
    <s v="PayPal"/>
    <x v="323"/>
  </r>
  <r>
    <s v="SALE327"/>
    <d v="2023-11-10T00:00:00"/>
    <s v="CUST1334"/>
    <s v="PROD51"/>
    <x v="9"/>
    <n v="1"/>
    <n v="272.2"/>
    <n v="0.3"/>
    <s v="Credit Card"/>
    <x v="324"/>
  </r>
  <r>
    <s v="SALE328"/>
    <d v="2024-02-27T00:00:00"/>
    <s v="CUST1438"/>
    <s v="PROD77"/>
    <x v="16"/>
    <n v="3"/>
    <n v="573.1"/>
    <n v="0.16"/>
    <s v="COD"/>
    <x v="325"/>
  </r>
  <r>
    <s v="SALE329"/>
    <d v="2025-04-09T00:00:00"/>
    <s v="CUST1322"/>
    <s v="PROD6"/>
    <x v="6"/>
    <n v="4"/>
    <n v="24.72"/>
    <n v="0.28000000000000003"/>
    <s v="Credit Card"/>
    <x v="326"/>
  </r>
  <r>
    <s v="SALE330"/>
    <d v="2024-07-05T00:00:00"/>
    <s v="CUST1251"/>
    <s v="PROD9"/>
    <x v="11"/>
    <n v="3"/>
    <n v="268.89"/>
    <n v="7.0000000000000007E-2"/>
    <s v="COD"/>
    <x v="327"/>
  </r>
  <r>
    <s v="SALE331"/>
    <d v="2025-08-21T00:00:00"/>
    <s v="CUST1257"/>
    <s v="PROD68"/>
    <x v="11"/>
    <n v="1"/>
    <n v="78.5"/>
    <n v="0.17"/>
    <s v="COD"/>
    <x v="328"/>
  </r>
  <r>
    <s v="SALE332"/>
    <d v="2025-06-07T00:00:00"/>
    <s v="CUST1133"/>
    <s v="PROD36"/>
    <x v="5"/>
    <n v="3"/>
    <n v="399.42"/>
    <n v="0.02"/>
    <s v="Credit Card"/>
    <x v="329"/>
  </r>
  <r>
    <s v="SALE333"/>
    <d v="2025-08-22T00:00:00"/>
    <s v="CUST1085"/>
    <s v="PROD31"/>
    <x v="12"/>
    <n v="3"/>
    <n v="455.82"/>
    <n v="0.01"/>
    <s v="PayPal"/>
    <x v="330"/>
  </r>
  <r>
    <s v="SALE334"/>
    <d v="2024-11-13T00:00:00"/>
    <s v="CUST1349"/>
    <s v="PROD50"/>
    <x v="3"/>
    <n v="2"/>
    <n v="613.23"/>
    <n v="0.15"/>
    <s v="PayPal"/>
    <x v="331"/>
  </r>
  <r>
    <s v="SALE335"/>
    <d v="2024-01-18T00:00:00"/>
    <s v="CUST1458"/>
    <s v="PROD2"/>
    <x v="7"/>
    <n v="4"/>
    <n v="971.9"/>
    <n v="0.28000000000000003"/>
    <s v="PayPal"/>
    <x v="332"/>
  </r>
  <r>
    <s v="SALE336"/>
    <d v="2024-08-15T00:00:00"/>
    <s v="CUST1034"/>
    <s v="PROD28"/>
    <x v="4"/>
    <n v="3"/>
    <n v="884.92"/>
    <n v="0.06"/>
    <s v="PayPal"/>
    <x v="333"/>
  </r>
  <r>
    <s v="SALE337"/>
    <d v="2025-09-21T00:00:00"/>
    <s v="CUST1087"/>
    <s v="PROD8"/>
    <x v="11"/>
    <n v="1"/>
    <n v="125"/>
    <n v="0.23"/>
    <s v="Credit Card"/>
    <x v="334"/>
  </r>
  <r>
    <s v="SALE338"/>
    <d v="2024-06-22T00:00:00"/>
    <s v="CUST1128"/>
    <s v="PROD10"/>
    <x v="10"/>
    <n v="2"/>
    <n v="188.25"/>
    <n v="0.08"/>
    <s v="PayPal"/>
    <x v="335"/>
  </r>
  <r>
    <s v="SALE339"/>
    <d v="2024-01-12T00:00:00"/>
    <s v="CUST1222"/>
    <s v="PROD46"/>
    <x v="16"/>
    <n v="4"/>
    <n v="344.12"/>
    <n v="0.25"/>
    <s v="PayPal"/>
    <x v="336"/>
  </r>
  <r>
    <s v="SALE340"/>
    <d v="2023-10-19T00:00:00"/>
    <s v="CUST1047"/>
    <s v="PROD17"/>
    <x v="12"/>
    <n v="3"/>
    <n v="997.95"/>
    <n v="0.09"/>
    <s v="COD"/>
    <x v="337"/>
  </r>
  <r>
    <s v="SALE341"/>
    <d v="2025-03-11T00:00:00"/>
    <s v="CUST1150"/>
    <s v="PROD11"/>
    <x v="10"/>
    <n v="3"/>
    <n v="121.64"/>
    <n v="7.0000000000000007E-2"/>
    <s v="PayPal"/>
    <x v="338"/>
  </r>
  <r>
    <s v="SALE342"/>
    <d v="2024-09-22T00:00:00"/>
    <s v="CUST1221"/>
    <s v="PROD68"/>
    <x v="15"/>
    <n v="2"/>
    <n v="692.72"/>
    <n v="0.13"/>
    <s v="PayPal"/>
    <x v="339"/>
  </r>
  <r>
    <s v="SALE343"/>
    <d v="2024-11-27T00:00:00"/>
    <s v="CUST1027"/>
    <s v="PROD24"/>
    <x v="12"/>
    <n v="3"/>
    <n v="794.59"/>
    <n v="0.03"/>
    <s v="PayPal"/>
    <x v="340"/>
  </r>
  <r>
    <s v="SALE344"/>
    <d v="2023-10-25T00:00:00"/>
    <s v="CUST1014"/>
    <s v="PROD26"/>
    <x v="11"/>
    <n v="1"/>
    <n v="907.95"/>
    <n v="0.1"/>
    <s v="PayPal"/>
    <x v="341"/>
  </r>
  <r>
    <s v="SALE345"/>
    <d v="2025-10-10T00:00:00"/>
    <s v="CUST1287"/>
    <s v="PROD50"/>
    <x v="6"/>
    <n v="2"/>
    <n v="660.81"/>
    <n v="0.18"/>
    <s v="Credit Card"/>
    <x v="342"/>
  </r>
  <r>
    <s v="SALE346"/>
    <d v="2025-09-15T00:00:00"/>
    <s v="CUST1061"/>
    <s v="PROD51"/>
    <x v="2"/>
    <n v="3"/>
    <n v="564.94000000000005"/>
    <n v="0.22"/>
    <s v="COD"/>
    <x v="343"/>
  </r>
  <r>
    <s v="SALE347"/>
    <d v="2024-09-06T00:00:00"/>
    <s v="CUST1054"/>
    <s v="PROD15"/>
    <x v="10"/>
    <n v="2"/>
    <n v="280.37"/>
    <n v="0.22"/>
    <s v="COD"/>
    <x v="344"/>
  </r>
  <r>
    <s v="SALE348"/>
    <d v="2024-07-16T00:00:00"/>
    <s v="CUST1372"/>
    <s v="PROD50"/>
    <x v="0"/>
    <n v="2"/>
    <n v="85.23"/>
    <n v="0.13"/>
    <s v="Credit Card"/>
    <x v="345"/>
  </r>
  <r>
    <s v="SALE349"/>
    <d v="2025-04-01T00:00:00"/>
    <s v="CUST1312"/>
    <s v="PROD27"/>
    <x v="13"/>
    <n v="2"/>
    <n v="563.29999999999995"/>
    <n v="0.26"/>
    <s v="Credit Card"/>
    <x v="346"/>
  </r>
  <r>
    <s v="SALE350"/>
    <d v="2024-01-18T00:00:00"/>
    <s v="CUST1033"/>
    <s v="PROD80"/>
    <x v="14"/>
    <n v="2"/>
    <n v="827.81"/>
    <n v="0.04"/>
    <s v="PayPal"/>
    <x v="347"/>
  </r>
  <r>
    <s v="SALE351"/>
    <d v="2024-11-25T00:00:00"/>
    <s v="CUST1214"/>
    <s v="PROD12"/>
    <x v="14"/>
    <n v="3"/>
    <n v="877.71"/>
    <n v="0.12"/>
    <s v="PayPal"/>
    <x v="348"/>
  </r>
  <r>
    <s v="SALE352"/>
    <d v="2024-11-07T00:00:00"/>
    <s v="CUST1257"/>
    <s v="PROD57"/>
    <x v="11"/>
    <n v="4"/>
    <n v="488.56"/>
    <n v="0.26"/>
    <s v="COD"/>
    <x v="349"/>
  </r>
  <r>
    <s v="SALE353"/>
    <d v="2024-07-28T00:00:00"/>
    <s v="CUST1104"/>
    <s v="PROD25"/>
    <x v="18"/>
    <n v="4"/>
    <n v="175.91"/>
    <n v="0.13"/>
    <s v="PayPal"/>
    <x v="350"/>
  </r>
  <r>
    <s v="SALE354"/>
    <d v="2024-04-16T00:00:00"/>
    <s v="CUST1248"/>
    <s v="PROD87"/>
    <x v="2"/>
    <n v="4"/>
    <n v="289.66000000000003"/>
    <n v="0.25"/>
    <s v="COD"/>
    <x v="351"/>
  </r>
  <r>
    <s v="SALE355"/>
    <d v="2024-01-13T00:00:00"/>
    <s v="CUST1241"/>
    <s v="PROD15"/>
    <x v="10"/>
    <n v="2"/>
    <n v="899.27"/>
    <n v="0.17"/>
    <s v="Credit Card"/>
    <x v="352"/>
  </r>
  <r>
    <s v="SALE356"/>
    <d v="2024-01-08T00:00:00"/>
    <s v="CUST1065"/>
    <s v="PROD18"/>
    <x v="8"/>
    <n v="1"/>
    <n v="691.38"/>
    <n v="0.11"/>
    <s v="COD"/>
    <x v="353"/>
  </r>
  <r>
    <s v="SALE357"/>
    <d v="2024-09-29T00:00:00"/>
    <s v="CUST1165"/>
    <s v="PROD27"/>
    <x v="6"/>
    <n v="3"/>
    <n v="158.72"/>
    <n v="0.13"/>
    <s v="Credit Card"/>
    <x v="354"/>
  </r>
  <r>
    <s v="SALE358"/>
    <d v="2024-05-01T00:00:00"/>
    <s v="CUST1210"/>
    <s v="PROD60"/>
    <x v="9"/>
    <n v="4"/>
    <n v="537.15"/>
    <n v="0.06"/>
    <s v="COD"/>
    <x v="355"/>
  </r>
  <r>
    <s v="SALE359"/>
    <d v="2024-07-07T00:00:00"/>
    <s v="CUST1417"/>
    <s v="PROD41"/>
    <x v="11"/>
    <n v="3"/>
    <n v="771.7"/>
    <n v="0.05"/>
    <s v="COD"/>
    <x v="356"/>
  </r>
  <r>
    <s v="SALE360"/>
    <d v="2024-11-14T00:00:00"/>
    <s v="CUST1108"/>
    <s v="PROD88"/>
    <x v="8"/>
    <n v="4"/>
    <n v="677.25"/>
    <n v="0.14000000000000001"/>
    <s v="PayPal"/>
    <x v="357"/>
  </r>
  <r>
    <s v="SALE361"/>
    <d v="2025-04-16T00:00:00"/>
    <s v="CUST1102"/>
    <s v="PROD98"/>
    <x v="19"/>
    <n v="1"/>
    <n v="645.48"/>
    <n v="0.26"/>
    <s v="COD"/>
    <x v="358"/>
  </r>
  <r>
    <s v="SALE362"/>
    <d v="2025-07-18T00:00:00"/>
    <s v="CUST1360"/>
    <s v="PROD73"/>
    <x v="17"/>
    <n v="2"/>
    <n v="934"/>
    <n v="0.3"/>
    <s v="COD"/>
    <x v="359"/>
  </r>
  <r>
    <s v="SALE363"/>
    <d v="2025-02-24T00:00:00"/>
    <s v="CUST1334"/>
    <s v="PROD46"/>
    <x v="17"/>
    <n v="1"/>
    <n v="669.53"/>
    <n v="0.2"/>
    <s v="Credit Card"/>
    <x v="360"/>
  </r>
  <r>
    <s v="SALE364"/>
    <d v="2025-03-07T00:00:00"/>
    <s v="CUST1216"/>
    <s v="PROD35"/>
    <x v="14"/>
    <n v="1"/>
    <n v="213.69"/>
    <n v="0.28000000000000003"/>
    <s v="COD"/>
    <x v="361"/>
  </r>
  <r>
    <s v="SALE365"/>
    <d v="2025-02-18T00:00:00"/>
    <s v="CUST1077"/>
    <s v="PROD21"/>
    <x v="12"/>
    <n v="2"/>
    <n v="99.1"/>
    <n v="0.2"/>
    <s v="PayPal"/>
    <x v="362"/>
  </r>
  <r>
    <s v="SALE366"/>
    <d v="2024-06-26T00:00:00"/>
    <s v="CUST1370"/>
    <s v="PROD37"/>
    <x v="9"/>
    <n v="1"/>
    <n v="628.98"/>
    <n v="0.03"/>
    <s v="COD"/>
    <x v="363"/>
  </r>
  <r>
    <s v="SALE367"/>
    <d v="2025-02-23T00:00:00"/>
    <s v="CUST1085"/>
    <s v="PROD84"/>
    <x v="5"/>
    <n v="3"/>
    <n v="944.64"/>
    <n v="0.26"/>
    <s v="Credit Card"/>
    <x v="364"/>
  </r>
  <r>
    <s v="SALE368"/>
    <d v="2025-06-15T00:00:00"/>
    <s v="CUST1471"/>
    <s v="PROD93"/>
    <x v="18"/>
    <n v="2"/>
    <n v="121.7"/>
    <n v="0.06"/>
    <s v="COD"/>
    <x v="365"/>
  </r>
  <r>
    <s v="SALE369"/>
    <d v="2023-10-18T00:00:00"/>
    <s v="CUST1448"/>
    <s v="PROD65"/>
    <x v="0"/>
    <n v="4"/>
    <n v="269.49"/>
    <n v="7.0000000000000007E-2"/>
    <s v="PayPal"/>
    <x v="366"/>
  </r>
  <r>
    <s v="SALE370"/>
    <d v="2025-03-17T00:00:00"/>
    <s v="CUST1099"/>
    <s v="PROD22"/>
    <x v="14"/>
    <n v="1"/>
    <n v="678.2"/>
    <n v="0.14000000000000001"/>
    <s v="Credit Card"/>
    <x v="367"/>
  </r>
  <r>
    <s v="SALE371"/>
    <d v="2024-08-16T00:00:00"/>
    <s v="CUST1231"/>
    <s v="PROD90"/>
    <x v="13"/>
    <n v="1"/>
    <n v="752.45"/>
    <n v="0.21"/>
    <s v="COD"/>
    <x v="368"/>
  </r>
  <r>
    <s v="SALE372"/>
    <d v="2024-03-22T00:00:00"/>
    <s v="CUST1037"/>
    <s v="PROD94"/>
    <x v="13"/>
    <n v="2"/>
    <n v="209.66"/>
    <n v="0.21"/>
    <s v="Credit Card"/>
    <x v="369"/>
  </r>
  <r>
    <s v="SALE373"/>
    <d v="2025-01-31T00:00:00"/>
    <s v="CUST1161"/>
    <s v="PROD97"/>
    <x v="12"/>
    <n v="2"/>
    <n v="739.95"/>
    <n v="0.1"/>
    <s v="COD"/>
    <x v="370"/>
  </r>
  <r>
    <s v="SALE374"/>
    <d v="2023-12-16T00:00:00"/>
    <s v="CUST1469"/>
    <s v="PROD45"/>
    <x v="10"/>
    <n v="1"/>
    <n v="496.19"/>
    <n v="0.08"/>
    <s v="COD"/>
    <x v="371"/>
  </r>
  <r>
    <s v="SALE375"/>
    <d v="2025-04-09T00:00:00"/>
    <s v="CUST1044"/>
    <s v="PROD9"/>
    <x v="18"/>
    <n v="1"/>
    <n v="306.36"/>
    <n v="0.01"/>
    <s v="PayPal"/>
    <x v="372"/>
  </r>
  <r>
    <s v="SALE376"/>
    <d v="2024-01-18T00:00:00"/>
    <s v="CUST1120"/>
    <s v="PROD73"/>
    <x v="5"/>
    <n v="4"/>
    <n v="693.16"/>
    <n v="0.05"/>
    <s v="PayPal"/>
    <x v="373"/>
  </r>
  <r>
    <s v="SALE377"/>
    <d v="2025-03-28T00:00:00"/>
    <s v="CUST1455"/>
    <s v="PROD83"/>
    <x v="15"/>
    <n v="1"/>
    <n v="995.52"/>
    <n v="0.22"/>
    <s v="PayPal"/>
    <x v="374"/>
  </r>
  <r>
    <s v="SALE378"/>
    <d v="2024-08-31T00:00:00"/>
    <s v="CUST1125"/>
    <s v="PROD7"/>
    <x v="14"/>
    <n v="4"/>
    <n v="241.32"/>
    <n v="0.28999999999999998"/>
    <s v="COD"/>
    <x v="375"/>
  </r>
  <r>
    <s v="SALE379"/>
    <d v="2023-11-10T00:00:00"/>
    <s v="CUST1239"/>
    <s v="PROD78"/>
    <x v="8"/>
    <n v="3"/>
    <n v="636.03"/>
    <n v="0.06"/>
    <s v="COD"/>
    <x v="376"/>
  </r>
  <r>
    <s v="SALE380"/>
    <d v="2023-12-15T00:00:00"/>
    <s v="CUST1096"/>
    <s v="PROD4"/>
    <x v="12"/>
    <n v="4"/>
    <n v="603.30999999999995"/>
    <n v="0.15"/>
    <s v="Credit Card"/>
    <x v="377"/>
  </r>
  <r>
    <s v="SALE381"/>
    <d v="2024-05-15T00:00:00"/>
    <s v="CUST1075"/>
    <s v="PROD89"/>
    <x v="15"/>
    <n v="3"/>
    <n v="437.96"/>
    <n v="0.27"/>
    <s v="COD"/>
    <x v="378"/>
  </r>
  <r>
    <s v="SALE382"/>
    <d v="2024-01-31T00:00:00"/>
    <s v="CUST1208"/>
    <s v="PROD34"/>
    <x v="5"/>
    <n v="2"/>
    <n v="56.91"/>
    <n v="0.08"/>
    <s v="COD"/>
    <x v="379"/>
  </r>
  <r>
    <s v="SALE383"/>
    <d v="2023-12-06T00:00:00"/>
    <s v="CUST1334"/>
    <s v="PROD76"/>
    <x v="16"/>
    <n v="1"/>
    <n v="141.79"/>
    <n v="0.1"/>
    <s v="Credit Card"/>
    <x v="380"/>
  </r>
  <r>
    <s v="SALE384"/>
    <d v="2024-01-11T00:00:00"/>
    <s v="CUST1483"/>
    <s v="PROD9"/>
    <x v="10"/>
    <n v="4"/>
    <n v="355.14"/>
    <n v="0.16"/>
    <s v="COD"/>
    <x v="381"/>
  </r>
  <r>
    <s v="SALE385"/>
    <d v="2025-09-07T00:00:00"/>
    <s v="CUST1211"/>
    <s v="PROD38"/>
    <x v="16"/>
    <n v="4"/>
    <n v="960.38"/>
    <n v="0.15"/>
    <s v="COD"/>
    <x v="382"/>
  </r>
  <r>
    <s v="SALE386"/>
    <d v="2024-05-21T00:00:00"/>
    <s v="CUST1420"/>
    <s v="PROD69"/>
    <x v="9"/>
    <n v="3"/>
    <n v="847.21"/>
    <n v="0.06"/>
    <s v="PayPal"/>
    <x v="383"/>
  </r>
  <r>
    <s v="SALE387"/>
    <d v="2025-08-23T00:00:00"/>
    <s v="CUST1066"/>
    <s v="PROD80"/>
    <x v="15"/>
    <n v="4"/>
    <n v="773.81"/>
    <n v="0.08"/>
    <s v="COD"/>
    <x v="384"/>
  </r>
  <r>
    <s v="SALE388"/>
    <d v="2025-05-03T00:00:00"/>
    <s v="CUST1000"/>
    <s v="PROD63"/>
    <x v="9"/>
    <n v="1"/>
    <n v="664.71"/>
    <n v="0.1"/>
    <s v="PayPal"/>
    <x v="385"/>
  </r>
  <r>
    <s v="SALE389"/>
    <d v="2023-11-03T00:00:00"/>
    <s v="CUST1347"/>
    <s v="PROD37"/>
    <x v="4"/>
    <n v="4"/>
    <n v="482.06"/>
    <n v="7.0000000000000007E-2"/>
    <s v="PayPal"/>
    <x v="386"/>
  </r>
  <r>
    <s v="SALE390"/>
    <d v="2025-03-26T00:00:00"/>
    <s v="CUST1089"/>
    <s v="PROD57"/>
    <x v="0"/>
    <n v="4"/>
    <n v="995.55"/>
    <n v="0.19"/>
    <s v="PayPal"/>
    <x v="387"/>
  </r>
  <r>
    <s v="SALE391"/>
    <d v="2024-07-05T00:00:00"/>
    <s v="CUST1141"/>
    <s v="PROD93"/>
    <x v="13"/>
    <n v="2"/>
    <n v="153.84"/>
    <n v="0.27"/>
    <s v="PayPal"/>
    <x v="388"/>
  </r>
  <r>
    <s v="SALE392"/>
    <d v="2025-05-12T00:00:00"/>
    <s v="CUST1153"/>
    <s v="PROD78"/>
    <x v="16"/>
    <n v="3"/>
    <n v="362.11"/>
    <n v="0.23"/>
    <s v="COD"/>
    <x v="389"/>
  </r>
  <r>
    <s v="SALE393"/>
    <d v="2024-09-26T00:00:00"/>
    <s v="CUST1472"/>
    <s v="PROD43"/>
    <x v="2"/>
    <n v="3"/>
    <n v="112.26"/>
    <n v="0.11"/>
    <s v="Credit Card"/>
    <x v="390"/>
  </r>
  <r>
    <s v="SALE394"/>
    <d v="2024-03-27T00:00:00"/>
    <s v="CUST1203"/>
    <s v="PROD94"/>
    <x v="12"/>
    <n v="2"/>
    <n v="962.81"/>
    <n v="0.06"/>
    <s v="COD"/>
    <x v="391"/>
  </r>
  <r>
    <s v="SALE395"/>
    <d v="2024-01-17T00:00:00"/>
    <s v="CUST1213"/>
    <s v="PROD21"/>
    <x v="6"/>
    <n v="4"/>
    <n v="276.23"/>
    <n v="0.12"/>
    <s v="Credit Card"/>
    <x v="392"/>
  </r>
  <r>
    <s v="SALE396"/>
    <d v="2024-04-25T00:00:00"/>
    <s v="CUST1015"/>
    <s v="PROD18"/>
    <x v="7"/>
    <n v="3"/>
    <n v="991.37"/>
    <n v="0.1"/>
    <s v="PayPal"/>
    <x v="393"/>
  </r>
  <r>
    <s v="SALE397"/>
    <d v="2025-09-29T00:00:00"/>
    <s v="CUST1168"/>
    <s v="PROD21"/>
    <x v="13"/>
    <n v="3"/>
    <n v="977.47"/>
    <n v="0.05"/>
    <s v="Credit Card"/>
    <x v="394"/>
  </r>
  <r>
    <s v="SALE398"/>
    <d v="2025-07-06T00:00:00"/>
    <s v="CUST1206"/>
    <s v="PROD94"/>
    <x v="18"/>
    <n v="2"/>
    <n v="308.7"/>
    <n v="0.2"/>
    <s v="PayPal"/>
    <x v="395"/>
  </r>
  <r>
    <s v="SALE399"/>
    <d v="2024-10-14T00:00:00"/>
    <s v="CUST1037"/>
    <s v="PROD6"/>
    <x v="9"/>
    <n v="2"/>
    <n v="733.87"/>
    <n v="0.1"/>
    <s v="PayPal"/>
    <x v="396"/>
  </r>
  <r>
    <s v="SALE400"/>
    <d v="2023-10-28T00:00:00"/>
    <s v="CUST1095"/>
    <s v="PROD19"/>
    <x v="9"/>
    <n v="2"/>
    <n v="22.47"/>
    <n v="0.22"/>
    <s v="PayPal"/>
    <x v="397"/>
  </r>
  <r>
    <s v="SALE401"/>
    <d v="2024-03-29T00:00:00"/>
    <s v="CUST1348"/>
    <s v="PROD57"/>
    <x v="13"/>
    <n v="4"/>
    <n v="651.36"/>
    <n v="0.13"/>
    <s v="Credit Card"/>
    <x v="398"/>
  </r>
  <r>
    <s v="SALE402"/>
    <d v="2025-06-09T00:00:00"/>
    <s v="CUST1296"/>
    <s v="PROD14"/>
    <x v="15"/>
    <n v="1"/>
    <n v="753.39"/>
    <n v="0.04"/>
    <s v="COD"/>
    <x v="399"/>
  </r>
  <r>
    <s v="SALE403"/>
    <d v="2024-10-11T00:00:00"/>
    <s v="CUST1201"/>
    <s v="PROD71"/>
    <x v="18"/>
    <n v="4"/>
    <n v="849.17"/>
    <n v="0.12"/>
    <s v="COD"/>
    <x v="400"/>
  </r>
  <r>
    <s v="SALE404"/>
    <d v="2024-07-22T00:00:00"/>
    <s v="CUST1379"/>
    <s v="PROD20"/>
    <x v="6"/>
    <n v="4"/>
    <n v="585.45000000000005"/>
    <n v="0.25"/>
    <s v="COD"/>
    <x v="401"/>
  </r>
  <r>
    <s v="SALE405"/>
    <d v="2024-12-02T00:00:00"/>
    <s v="CUST1476"/>
    <s v="PROD75"/>
    <x v="9"/>
    <n v="1"/>
    <n v="745.15"/>
    <n v="0.25"/>
    <s v="COD"/>
    <x v="402"/>
  </r>
  <r>
    <s v="SALE406"/>
    <d v="2023-11-14T00:00:00"/>
    <s v="CUST1050"/>
    <s v="PROD99"/>
    <x v="17"/>
    <n v="1"/>
    <n v="848.69"/>
    <n v="0.04"/>
    <s v="COD"/>
    <x v="403"/>
  </r>
  <r>
    <s v="SALE407"/>
    <d v="2024-02-14T00:00:00"/>
    <s v="CUST1413"/>
    <s v="PROD70"/>
    <x v="7"/>
    <n v="2"/>
    <n v="247.67"/>
    <n v="0.1"/>
    <s v="PayPal"/>
    <x v="404"/>
  </r>
  <r>
    <s v="SALE408"/>
    <d v="2024-06-22T00:00:00"/>
    <s v="CUST1039"/>
    <s v="PROD74"/>
    <x v="0"/>
    <n v="3"/>
    <n v="220.51"/>
    <n v="0.02"/>
    <s v="PayPal"/>
    <x v="405"/>
  </r>
  <r>
    <s v="SALE409"/>
    <d v="2025-06-29T00:00:00"/>
    <s v="CUST1327"/>
    <s v="PROD15"/>
    <x v="9"/>
    <n v="4"/>
    <n v="370.63"/>
    <n v="0.08"/>
    <s v="Credit Card"/>
    <x v="406"/>
  </r>
  <r>
    <s v="SALE410"/>
    <d v="2025-02-18T00:00:00"/>
    <s v="CUST1391"/>
    <s v="PROD29"/>
    <x v="12"/>
    <n v="4"/>
    <n v="349.84"/>
    <n v="0.11"/>
    <s v="Credit Card"/>
    <x v="407"/>
  </r>
  <r>
    <s v="SALE411"/>
    <d v="2025-06-15T00:00:00"/>
    <s v="CUST1043"/>
    <s v="PROD39"/>
    <x v="18"/>
    <n v="1"/>
    <n v="770.87"/>
    <n v="0.1"/>
    <s v="COD"/>
    <x v="408"/>
  </r>
  <r>
    <s v="SALE412"/>
    <d v="2024-08-14T00:00:00"/>
    <s v="CUST1479"/>
    <s v="PROD99"/>
    <x v="1"/>
    <n v="3"/>
    <n v="507.33"/>
    <n v="0.06"/>
    <s v="PayPal"/>
    <x v="409"/>
  </r>
  <r>
    <s v="SALE413"/>
    <d v="2025-07-25T00:00:00"/>
    <s v="CUST1185"/>
    <s v="PROD66"/>
    <x v="11"/>
    <n v="1"/>
    <n v="87.78"/>
    <n v="0.06"/>
    <s v="Credit Card"/>
    <x v="410"/>
  </r>
  <r>
    <s v="SALE414"/>
    <d v="2025-01-09T00:00:00"/>
    <s v="CUST1006"/>
    <s v="PROD93"/>
    <x v="5"/>
    <n v="2"/>
    <n v="772.24"/>
    <n v="0.22"/>
    <s v="Credit Card"/>
    <x v="411"/>
  </r>
  <r>
    <s v="SALE415"/>
    <d v="2025-06-05T00:00:00"/>
    <s v="CUST1047"/>
    <s v="PROD70"/>
    <x v="7"/>
    <n v="1"/>
    <n v="108.27"/>
    <n v="0.1"/>
    <s v="COD"/>
    <x v="412"/>
  </r>
  <r>
    <s v="SALE416"/>
    <d v="2024-12-07T00:00:00"/>
    <s v="CUST1347"/>
    <s v="PROD38"/>
    <x v="1"/>
    <n v="2"/>
    <n v="839.24"/>
    <n v="0.21"/>
    <s v="PayPal"/>
    <x v="413"/>
  </r>
  <r>
    <s v="SALE417"/>
    <d v="2024-02-09T00:00:00"/>
    <s v="CUST1383"/>
    <s v="PROD58"/>
    <x v="15"/>
    <n v="2"/>
    <n v="466.27"/>
    <n v="0.11"/>
    <s v="PayPal"/>
    <x v="414"/>
  </r>
  <r>
    <s v="SALE418"/>
    <d v="2025-10-12T00:00:00"/>
    <s v="CUST1398"/>
    <s v="PROD62"/>
    <x v="7"/>
    <n v="3"/>
    <n v="969.83"/>
    <n v="0.02"/>
    <s v="Credit Card"/>
    <x v="415"/>
  </r>
  <r>
    <s v="SALE419"/>
    <d v="2025-06-16T00:00:00"/>
    <s v="CUST1417"/>
    <s v="PROD91"/>
    <x v="12"/>
    <n v="2"/>
    <n v="782.11"/>
    <n v="0.17"/>
    <s v="PayPal"/>
    <x v="416"/>
  </r>
  <r>
    <s v="SALE420"/>
    <d v="2025-09-21T00:00:00"/>
    <s v="CUST1451"/>
    <s v="PROD40"/>
    <x v="19"/>
    <n v="2"/>
    <n v="74.63"/>
    <n v="0.01"/>
    <s v="PayPal"/>
    <x v="417"/>
  </r>
  <r>
    <s v="SALE421"/>
    <d v="2025-09-09T00:00:00"/>
    <s v="CUST1041"/>
    <s v="PROD85"/>
    <x v="16"/>
    <n v="3"/>
    <n v="522.78"/>
    <n v="0.25"/>
    <s v="PayPal"/>
    <x v="418"/>
  </r>
  <r>
    <s v="SALE422"/>
    <d v="2025-07-15T00:00:00"/>
    <s v="CUST1338"/>
    <s v="PROD13"/>
    <x v="10"/>
    <n v="1"/>
    <n v="206.45"/>
    <n v="0.15"/>
    <s v="PayPal"/>
    <x v="419"/>
  </r>
  <r>
    <s v="SALE423"/>
    <d v="2024-10-15T00:00:00"/>
    <s v="CUST1145"/>
    <s v="PROD69"/>
    <x v="3"/>
    <n v="1"/>
    <n v="815.53"/>
    <n v="0.3"/>
    <s v="PayPal"/>
    <x v="420"/>
  </r>
  <r>
    <s v="SALE424"/>
    <d v="2023-10-21T00:00:00"/>
    <s v="CUST1037"/>
    <s v="PROD79"/>
    <x v="13"/>
    <n v="1"/>
    <n v="823.61"/>
    <n v="0.28000000000000003"/>
    <s v="COD"/>
    <x v="421"/>
  </r>
  <r>
    <s v="SALE425"/>
    <d v="2025-05-30T00:00:00"/>
    <s v="CUST1478"/>
    <s v="PROD87"/>
    <x v="11"/>
    <n v="2"/>
    <n v="209.96"/>
    <n v="0"/>
    <s v="Credit Card"/>
    <x v="422"/>
  </r>
  <r>
    <s v="SALE426"/>
    <d v="2024-06-19T00:00:00"/>
    <s v="CUST1175"/>
    <s v="PROD0"/>
    <x v="9"/>
    <n v="4"/>
    <n v="897.93"/>
    <n v="0.05"/>
    <s v="COD"/>
    <x v="423"/>
  </r>
  <r>
    <s v="SALE427"/>
    <d v="2024-12-20T00:00:00"/>
    <s v="CUST1181"/>
    <s v="PROD63"/>
    <x v="6"/>
    <n v="4"/>
    <n v="925.95"/>
    <n v="0.16"/>
    <s v="COD"/>
    <x v="424"/>
  </r>
  <r>
    <s v="SALE428"/>
    <d v="2024-08-16T00:00:00"/>
    <s v="CUST1084"/>
    <s v="PROD51"/>
    <x v="16"/>
    <n v="2"/>
    <n v="573.09"/>
    <n v="0.03"/>
    <s v="COD"/>
    <x v="425"/>
  </r>
  <r>
    <s v="SALE429"/>
    <d v="2025-03-15T00:00:00"/>
    <s v="CUST1183"/>
    <s v="PROD7"/>
    <x v="5"/>
    <n v="4"/>
    <n v="149.83000000000001"/>
    <n v="0.02"/>
    <s v="Credit Card"/>
    <x v="426"/>
  </r>
  <r>
    <s v="SALE430"/>
    <d v="2024-06-02T00:00:00"/>
    <s v="CUST1001"/>
    <s v="PROD51"/>
    <x v="7"/>
    <n v="3"/>
    <n v="287.70999999999998"/>
    <n v="0.03"/>
    <s v="COD"/>
    <x v="427"/>
  </r>
  <r>
    <s v="SALE431"/>
    <d v="2025-07-22T00:00:00"/>
    <s v="CUST1094"/>
    <s v="PROD67"/>
    <x v="16"/>
    <n v="2"/>
    <n v="849.8"/>
    <n v="0.06"/>
    <s v="COD"/>
    <x v="428"/>
  </r>
  <r>
    <s v="SALE432"/>
    <d v="2025-03-09T00:00:00"/>
    <s v="CUST1016"/>
    <s v="PROD41"/>
    <x v="0"/>
    <n v="3"/>
    <n v="482.58"/>
    <n v="0.28000000000000003"/>
    <s v="PayPal"/>
    <x v="429"/>
  </r>
  <r>
    <s v="SALE433"/>
    <d v="2025-02-11T00:00:00"/>
    <s v="CUST1114"/>
    <s v="PROD59"/>
    <x v="17"/>
    <n v="2"/>
    <n v="64.7"/>
    <n v="0"/>
    <s v="Credit Card"/>
    <x v="430"/>
  </r>
  <r>
    <s v="SALE434"/>
    <d v="2023-12-06T00:00:00"/>
    <s v="CUST1148"/>
    <s v="PROD5"/>
    <x v="3"/>
    <n v="3"/>
    <n v="589.83000000000004"/>
    <n v="0.26"/>
    <s v="Credit Card"/>
    <x v="431"/>
  </r>
  <r>
    <s v="SALE435"/>
    <d v="2025-08-20T00:00:00"/>
    <s v="CUST1288"/>
    <s v="PROD3"/>
    <x v="11"/>
    <n v="4"/>
    <n v="758.49"/>
    <n v="0.16"/>
    <s v="COD"/>
    <x v="432"/>
  </r>
  <r>
    <s v="SALE436"/>
    <d v="2024-09-20T00:00:00"/>
    <s v="CUST1053"/>
    <s v="PROD37"/>
    <x v="18"/>
    <n v="4"/>
    <n v="747.56"/>
    <n v="0.09"/>
    <s v="COD"/>
    <x v="433"/>
  </r>
  <r>
    <s v="SALE437"/>
    <d v="2025-06-05T00:00:00"/>
    <s v="CUST1253"/>
    <s v="PROD40"/>
    <x v="1"/>
    <n v="3"/>
    <n v="551.22"/>
    <n v="0.12"/>
    <s v="PayPal"/>
    <x v="434"/>
  </r>
  <r>
    <s v="SALE438"/>
    <d v="2025-06-03T00:00:00"/>
    <s v="CUST1159"/>
    <s v="PROD69"/>
    <x v="7"/>
    <n v="2"/>
    <n v="527.05999999999995"/>
    <n v="0.17"/>
    <s v="PayPal"/>
    <x v="435"/>
  </r>
  <r>
    <s v="SALE439"/>
    <d v="2025-01-13T00:00:00"/>
    <s v="CUST1098"/>
    <s v="PROD62"/>
    <x v="3"/>
    <n v="4"/>
    <n v="875.41"/>
    <n v="0.27"/>
    <s v="Credit Card"/>
    <x v="436"/>
  </r>
  <r>
    <s v="SALE440"/>
    <d v="2025-03-20T00:00:00"/>
    <s v="CUST1007"/>
    <s v="PROD85"/>
    <x v="6"/>
    <n v="2"/>
    <n v="226.43"/>
    <n v="0.03"/>
    <s v="Credit Card"/>
    <x v="437"/>
  </r>
  <r>
    <s v="SALE441"/>
    <d v="2024-07-07T00:00:00"/>
    <s v="CUST1035"/>
    <s v="PROD79"/>
    <x v="3"/>
    <n v="2"/>
    <n v="285.39"/>
    <n v="0.1"/>
    <s v="Credit Card"/>
    <x v="438"/>
  </r>
  <r>
    <s v="SALE442"/>
    <d v="2025-09-29T00:00:00"/>
    <s v="CUST1334"/>
    <s v="PROD11"/>
    <x v="10"/>
    <n v="2"/>
    <n v="298.01"/>
    <n v="0.05"/>
    <s v="Credit Card"/>
    <x v="439"/>
  </r>
  <r>
    <s v="SALE443"/>
    <d v="2024-11-30T00:00:00"/>
    <s v="CUST1159"/>
    <s v="PROD40"/>
    <x v="5"/>
    <n v="4"/>
    <n v="753.49"/>
    <n v="0.26"/>
    <s v="COD"/>
    <x v="440"/>
  </r>
  <r>
    <s v="SALE444"/>
    <d v="2024-06-17T00:00:00"/>
    <s v="CUST1488"/>
    <s v="PROD78"/>
    <x v="18"/>
    <n v="2"/>
    <n v="130.38999999999999"/>
    <n v="0.17"/>
    <s v="PayPal"/>
    <x v="441"/>
  </r>
  <r>
    <s v="SALE445"/>
    <d v="2025-02-21T00:00:00"/>
    <s v="CUST1345"/>
    <s v="PROD22"/>
    <x v="11"/>
    <n v="4"/>
    <n v="164.02"/>
    <n v="0.01"/>
    <s v="PayPal"/>
    <x v="442"/>
  </r>
  <r>
    <s v="SALE446"/>
    <d v="2024-09-16T00:00:00"/>
    <s v="CUST1164"/>
    <s v="PROD29"/>
    <x v="5"/>
    <n v="2"/>
    <n v="527.51"/>
    <n v="0.18"/>
    <s v="PayPal"/>
    <x v="443"/>
  </r>
  <r>
    <s v="SALE447"/>
    <d v="2025-10-09T00:00:00"/>
    <s v="CUST1253"/>
    <s v="PROD57"/>
    <x v="13"/>
    <n v="3"/>
    <n v="628.17999999999995"/>
    <n v="0.26"/>
    <s v="Credit Card"/>
    <x v="444"/>
  </r>
  <r>
    <s v="SALE448"/>
    <d v="2024-09-18T00:00:00"/>
    <s v="CUST1269"/>
    <s v="PROD56"/>
    <x v="0"/>
    <n v="1"/>
    <n v="862.31"/>
    <n v="0.06"/>
    <s v="Credit Card"/>
    <x v="445"/>
  </r>
  <r>
    <s v="SALE449"/>
    <d v="2025-05-29T00:00:00"/>
    <s v="CUST1071"/>
    <s v="PROD83"/>
    <x v="7"/>
    <n v="2"/>
    <n v="541.39"/>
    <n v="0.03"/>
    <s v="COD"/>
    <x v="446"/>
  </r>
  <r>
    <s v="SALE450"/>
    <d v="2025-06-03T00:00:00"/>
    <s v="CUST1477"/>
    <s v="PROD76"/>
    <x v="9"/>
    <n v="3"/>
    <n v="761.8"/>
    <n v="0.06"/>
    <s v="COD"/>
    <x v="447"/>
  </r>
  <r>
    <s v="SALE451"/>
    <d v="2024-08-04T00:00:00"/>
    <s v="CUST1422"/>
    <s v="PROD49"/>
    <x v="17"/>
    <n v="4"/>
    <n v="829.36"/>
    <n v="0.11"/>
    <s v="PayPal"/>
    <x v="448"/>
  </r>
  <r>
    <s v="SALE452"/>
    <d v="2024-06-17T00:00:00"/>
    <s v="CUST1404"/>
    <s v="PROD23"/>
    <x v="9"/>
    <n v="2"/>
    <n v="425.06"/>
    <n v="0.09"/>
    <s v="PayPal"/>
    <x v="449"/>
  </r>
  <r>
    <s v="SALE453"/>
    <d v="2024-01-20T00:00:00"/>
    <s v="CUST1127"/>
    <s v="PROD55"/>
    <x v="6"/>
    <n v="2"/>
    <n v="911.14"/>
    <n v="0.1"/>
    <s v="Credit Card"/>
    <x v="450"/>
  </r>
  <r>
    <s v="SALE454"/>
    <d v="2025-09-06T00:00:00"/>
    <s v="CUST1084"/>
    <s v="PROD68"/>
    <x v="2"/>
    <n v="3"/>
    <n v="811.96"/>
    <n v="0.28999999999999998"/>
    <s v="Credit Card"/>
    <x v="451"/>
  </r>
  <r>
    <s v="SALE455"/>
    <d v="2024-03-29T00:00:00"/>
    <s v="CUST1273"/>
    <s v="PROD31"/>
    <x v="15"/>
    <n v="2"/>
    <n v="780.05"/>
    <n v="0.12"/>
    <s v="COD"/>
    <x v="452"/>
  </r>
  <r>
    <s v="SALE456"/>
    <d v="2024-08-23T00:00:00"/>
    <s v="CUST1215"/>
    <s v="PROD32"/>
    <x v="11"/>
    <n v="4"/>
    <n v="315.95"/>
    <n v="0.19"/>
    <s v="COD"/>
    <x v="453"/>
  </r>
  <r>
    <s v="SALE457"/>
    <d v="2025-05-19T00:00:00"/>
    <s v="CUST1229"/>
    <s v="PROD52"/>
    <x v="11"/>
    <n v="2"/>
    <n v="810.17"/>
    <n v="0.27"/>
    <s v="Credit Card"/>
    <x v="454"/>
  </r>
  <r>
    <s v="SALE458"/>
    <d v="2024-04-07T00:00:00"/>
    <s v="CUST1205"/>
    <s v="PROD84"/>
    <x v="5"/>
    <n v="3"/>
    <n v="505.01"/>
    <n v="0.02"/>
    <s v="PayPal"/>
    <x v="455"/>
  </r>
  <r>
    <s v="SALE459"/>
    <d v="2024-01-24T00:00:00"/>
    <s v="CUST1467"/>
    <s v="PROD72"/>
    <x v="1"/>
    <n v="2"/>
    <n v="736.75"/>
    <n v="0.18"/>
    <s v="Credit Card"/>
    <x v="456"/>
  </r>
  <r>
    <s v="SALE460"/>
    <d v="2024-01-20T00:00:00"/>
    <s v="CUST1027"/>
    <s v="PROD77"/>
    <x v="11"/>
    <n v="4"/>
    <n v="700.31"/>
    <n v="0.2"/>
    <s v="PayPal"/>
    <x v="457"/>
  </r>
  <r>
    <s v="SALE461"/>
    <d v="2023-12-10T00:00:00"/>
    <s v="CUST1129"/>
    <s v="PROD91"/>
    <x v="19"/>
    <n v="4"/>
    <n v="202.46"/>
    <n v="0.24"/>
    <s v="Credit Card"/>
    <x v="458"/>
  </r>
  <r>
    <s v="SALE462"/>
    <d v="2023-12-19T00:00:00"/>
    <s v="CUST1265"/>
    <s v="PROD87"/>
    <x v="8"/>
    <n v="2"/>
    <n v="291.83999999999997"/>
    <n v="0.25"/>
    <s v="PayPal"/>
    <x v="459"/>
  </r>
  <r>
    <s v="SALE463"/>
    <d v="2023-11-22T00:00:00"/>
    <s v="CUST1163"/>
    <s v="PROD97"/>
    <x v="3"/>
    <n v="2"/>
    <n v="261.48"/>
    <n v="0.17"/>
    <s v="Credit Card"/>
    <x v="460"/>
  </r>
  <r>
    <s v="SALE464"/>
    <d v="2025-10-08T00:00:00"/>
    <s v="CUST1300"/>
    <s v="PROD36"/>
    <x v="7"/>
    <n v="1"/>
    <n v="850.83"/>
    <n v="0.28000000000000003"/>
    <s v="PayPal"/>
    <x v="461"/>
  </r>
  <r>
    <s v="SALE465"/>
    <d v="2025-02-23T00:00:00"/>
    <s v="CUST1405"/>
    <s v="PROD46"/>
    <x v="11"/>
    <n v="1"/>
    <n v="83.83"/>
    <n v="0.05"/>
    <s v="Credit Card"/>
    <x v="462"/>
  </r>
  <r>
    <s v="SALE466"/>
    <d v="2025-02-25T00:00:00"/>
    <s v="CUST1006"/>
    <s v="PROD88"/>
    <x v="9"/>
    <n v="3"/>
    <n v="649.95000000000005"/>
    <n v="0.28000000000000003"/>
    <s v="COD"/>
    <x v="463"/>
  </r>
  <r>
    <s v="SALE467"/>
    <d v="2024-09-30T00:00:00"/>
    <s v="CUST1366"/>
    <s v="PROD73"/>
    <x v="16"/>
    <n v="4"/>
    <n v="934.96"/>
    <n v="0.18"/>
    <s v="PayPal"/>
    <x v="464"/>
  </r>
  <r>
    <s v="SALE468"/>
    <d v="2023-12-19T00:00:00"/>
    <s v="CUST1206"/>
    <s v="PROD17"/>
    <x v="7"/>
    <n v="1"/>
    <n v="880.89"/>
    <n v="0.13"/>
    <s v="COD"/>
    <x v="465"/>
  </r>
  <r>
    <s v="SALE469"/>
    <d v="2024-11-18T00:00:00"/>
    <s v="CUST1477"/>
    <s v="PROD98"/>
    <x v="2"/>
    <n v="4"/>
    <n v="610.6"/>
    <n v="0.1"/>
    <s v="PayPal"/>
    <x v="466"/>
  </r>
  <r>
    <s v="SALE470"/>
    <d v="2025-09-12T00:00:00"/>
    <s v="CUST1075"/>
    <s v="PROD28"/>
    <x v="14"/>
    <n v="1"/>
    <n v="514.19000000000005"/>
    <n v="0.2"/>
    <s v="Credit Card"/>
    <x v="467"/>
  </r>
  <r>
    <s v="SALE471"/>
    <d v="2025-01-31T00:00:00"/>
    <s v="CUST1399"/>
    <s v="PROD37"/>
    <x v="13"/>
    <n v="1"/>
    <n v="546.20000000000005"/>
    <n v="0.22"/>
    <s v="PayPal"/>
    <x v="468"/>
  </r>
  <r>
    <s v="SALE472"/>
    <d v="2024-10-26T00:00:00"/>
    <s v="CUST1197"/>
    <s v="PROD37"/>
    <x v="6"/>
    <n v="3"/>
    <n v="416.01"/>
    <n v="0.02"/>
    <s v="Credit Card"/>
    <x v="469"/>
  </r>
  <r>
    <s v="SALE473"/>
    <d v="2025-07-26T00:00:00"/>
    <s v="CUST1384"/>
    <s v="PROD74"/>
    <x v="15"/>
    <n v="1"/>
    <n v="30.94"/>
    <n v="0.21"/>
    <s v="COD"/>
    <x v="470"/>
  </r>
  <r>
    <s v="SALE474"/>
    <d v="2025-08-06T00:00:00"/>
    <s v="CUST1200"/>
    <s v="PROD58"/>
    <x v="9"/>
    <n v="3"/>
    <n v="666.39"/>
    <n v="0.21"/>
    <s v="COD"/>
    <x v="471"/>
  </r>
  <r>
    <s v="SALE475"/>
    <d v="2025-05-20T00:00:00"/>
    <s v="CUST1166"/>
    <s v="PROD81"/>
    <x v="15"/>
    <n v="2"/>
    <n v="145.26"/>
    <n v="0.19"/>
    <s v="PayPal"/>
    <x v="472"/>
  </r>
  <r>
    <s v="SALE476"/>
    <d v="2024-03-13T00:00:00"/>
    <s v="CUST1118"/>
    <s v="PROD91"/>
    <x v="3"/>
    <n v="4"/>
    <n v="940.77"/>
    <n v="0.24"/>
    <s v="COD"/>
    <x v="473"/>
  </r>
  <r>
    <s v="SALE477"/>
    <d v="2025-02-12T00:00:00"/>
    <s v="CUST1469"/>
    <s v="PROD46"/>
    <x v="1"/>
    <n v="1"/>
    <n v="708.88"/>
    <n v="0.09"/>
    <s v="Credit Card"/>
    <x v="474"/>
  </r>
  <r>
    <s v="SALE478"/>
    <d v="2025-09-24T00:00:00"/>
    <s v="CUST1307"/>
    <s v="PROD30"/>
    <x v="17"/>
    <n v="1"/>
    <n v="790.73"/>
    <n v="0.24"/>
    <s v="PayPal"/>
    <x v="475"/>
  </r>
  <r>
    <s v="SALE479"/>
    <d v="2024-10-09T00:00:00"/>
    <s v="CUST1449"/>
    <s v="PROD15"/>
    <x v="11"/>
    <n v="3"/>
    <n v="635.13"/>
    <n v="0.09"/>
    <s v="PayPal"/>
    <x v="476"/>
  </r>
  <r>
    <s v="SALE480"/>
    <d v="2023-11-03T00:00:00"/>
    <s v="CUST1266"/>
    <s v="PROD93"/>
    <x v="7"/>
    <n v="1"/>
    <n v="744.88"/>
    <n v="0.15"/>
    <s v="COD"/>
    <x v="477"/>
  </r>
  <r>
    <s v="SALE481"/>
    <d v="2025-03-29T00:00:00"/>
    <s v="CUST1183"/>
    <s v="PROD28"/>
    <x v="8"/>
    <n v="3"/>
    <n v="205.34"/>
    <n v="0.25"/>
    <s v="Credit Card"/>
    <x v="478"/>
  </r>
  <r>
    <s v="SALE482"/>
    <d v="2025-07-13T00:00:00"/>
    <s v="CUST1419"/>
    <s v="PROD29"/>
    <x v="2"/>
    <n v="2"/>
    <n v="756.8"/>
    <n v="0.15"/>
    <s v="Credit Card"/>
    <x v="479"/>
  </r>
  <r>
    <s v="SALE483"/>
    <d v="2024-01-17T00:00:00"/>
    <s v="CUST1044"/>
    <s v="PROD21"/>
    <x v="15"/>
    <n v="1"/>
    <n v="771.73"/>
    <n v="0.2"/>
    <s v="Credit Card"/>
    <x v="480"/>
  </r>
  <r>
    <s v="SALE484"/>
    <d v="2024-12-13T00:00:00"/>
    <s v="CUST1479"/>
    <s v="PROD66"/>
    <x v="1"/>
    <n v="1"/>
    <n v="440.19"/>
    <n v="0.03"/>
    <s v="PayPal"/>
    <x v="481"/>
  </r>
  <r>
    <s v="SALE485"/>
    <d v="2025-09-19T00:00:00"/>
    <s v="CUST1047"/>
    <s v="PROD4"/>
    <x v="17"/>
    <n v="2"/>
    <n v="409"/>
    <n v="0.17"/>
    <s v="Credit Card"/>
    <x v="482"/>
  </r>
  <r>
    <s v="SALE486"/>
    <d v="2024-02-11T00:00:00"/>
    <s v="CUST1343"/>
    <s v="PROD38"/>
    <x v="12"/>
    <n v="3"/>
    <n v="134.58000000000001"/>
    <n v="0.04"/>
    <s v="COD"/>
    <x v="483"/>
  </r>
  <r>
    <s v="SALE487"/>
    <d v="2025-06-03T00:00:00"/>
    <s v="CUST1348"/>
    <s v="PROD39"/>
    <x v="4"/>
    <n v="4"/>
    <n v="284.44"/>
    <n v="0.02"/>
    <s v="Credit Card"/>
    <x v="484"/>
  </r>
  <r>
    <s v="SALE488"/>
    <d v="2025-03-10T00:00:00"/>
    <s v="CUST1405"/>
    <s v="PROD73"/>
    <x v="13"/>
    <n v="4"/>
    <n v="922.69"/>
    <n v="0.16"/>
    <s v="Credit Card"/>
    <x v="485"/>
  </r>
  <r>
    <s v="SALE489"/>
    <d v="2024-12-18T00:00:00"/>
    <s v="CUST1275"/>
    <s v="PROD36"/>
    <x v="16"/>
    <n v="2"/>
    <n v="992.55"/>
    <n v="0.28000000000000003"/>
    <s v="Credit Card"/>
    <x v="486"/>
  </r>
  <r>
    <s v="SALE490"/>
    <d v="2024-03-20T00:00:00"/>
    <s v="CUST1418"/>
    <s v="PROD89"/>
    <x v="14"/>
    <n v="1"/>
    <n v="170.43"/>
    <n v="0.03"/>
    <s v="Credit Card"/>
    <x v="487"/>
  </r>
  <r>
    <s v="SALE491"/>
    <d v="2024-06-19T00:00:00"/>
    <s v="CUST1223"/>
    <s v="PROD72"/>
    <x v="17"/>
    <n v="3"/>
    <n v="480.51"/>
    <n v="0.03"/>
    <s v="Credit Card"/>
    <x v="488"/>
  </r>
  <r>
    <s v="SALE492"/>
    <d v="2024-12-06T00:00:00"/>
    <s v="CUST1156"/>
    <s v="PROD49"/>
    <x v="4"/>
    <n v="2"/>
    <n v="955.66"/>
    <n v="0.28999999999999998"/>
    <s v="COD"/>
    <x v="489"/>
  </r>
  <r>
    <s v="SALE493"/>
    <d v="2025-07-25T00:00:00"/>
    <s v="CUST1451"/>
    <s v="PROD72"/>
    <x v="6"/>
    <n v="2"/>
    <n v="488.02"/>
    <n v="0.27"/>
    <s v="PayPal"/>
    <x v="490"/>
  </r>
  <r>
    <s v="SALE494"/>
    <d v="2024-07-28T00:00:00"/>
    <s v="CUST1240"/>
    <s v="PROD18"/>
    <x v="6"/>
    <n v="1"/>
    <n v="917.17"/>
    <n v="0.13"/>
    <s v="COD"/>
    <x v="491"/>
  </r>
  <r>
    <s v="SALE495"/>
    <d v="2024-10-03T00:00:00"/>
    <s v="CUST1324"/>
    <s v="PROD8"/>
    <x v="3"/>
    <n v="2"/>
    <n v="406.46"/>
    <n v="0.3"/>
    <s v="PayPal"/>
    <x v="492"/>
  </r>
  <r>
    <s v="SALE496"/>
    <d v="2023-11-08T00:00:00"/>
    <s v="CUST1232"/>
    <s v="PROD95"/>
    <x v="6"/>
    <n v="2"/>
    <n v="264.39"/>
    <n v="0.11"/>
    <s v="COD"/>
    <x v="493"/>
  </r>
  <r>
    <s v="SALE497"/>
    <d v="2025-04-07T00:00:00"/>
    <s v="CUST1191"/>
    <s v="PROD68"/>
    <x v="9"/>
    <n v="1"/>
    <n v="414.97"/>
    <n v="0.22"/>
    <s v="PayPal"/>
    <x v="494"/>
  </r>
  <r>
    <s v="SALE498"/>
    <d v="2023-12-20T00:00:00"/>
    <s v="CUST1146"/>
    <s v="PROD25"/>
    <x v="18"/>
    <n v="2"/>
    <n v="583.51"/>
    <n v="0.2"/>
    <s v="COD"/>
    <x v="495"/>
  </r>
  <r>
    <s v="SALE499"/>
    <d v="2025-09-11T00:00:00"/>
    <s v="CUST1011"/>
    <s v="PROD31"/>
    <x v="1"/>
    <n v="1"/>
    <n v="659.27"/>
    <n v="0.15"/>
    <s v="PayPal"/>
    <x v="496"/>
  </r>
  <r>
    <s v="SALE500"/>
    <d v="2024-12-01T00:00:00"/>
    <s v="CUST1445"/>
    <s v="PROD2"/>
    <x v="5"/>
    <n v="4"/>
    <n v="106.66"/>
    <n v="0.2"/>
    <s v="COD"/>
    <x v="497"/>
  </r>
  <r>
    <s v="SALE501"/>
    <d v="2024-11-21T00:00:00"/>
    <s v="CUST1163"/>
    <s v="PROD10"/>
    <x v="3"/>
    <n v="4"/>
    <n v="168.55"/>
    <n v="0.15"/>
    <s v="PayPal"/>
    <x v="498"/>
  </r>
  <r>
    <s v="SALE502"/>
    <d v="2025-08-30T00:00:00"/>
    <s v="CUST1488"/>
    <s v="PROD44"/>
    <x v="17"/>
    <n v="1"/>
    <n v="230.53"/>
    <n v="0.06"/>
    <s v="COD"/>
    <x v="499"/>
  </r>
  <r>
    <s v="SALE503"/>
    <d v="2025-08-20T00:00:00"/>
    <s v="CUST1007"/>
    <s v="PROD54"/>
    <x v="8"/>
    <n v="2"/>
    <n v="355.41"/>
    <n v="0.13"/>
    <s v="COD"/>
    <x v="500"/>
  </r>
  <r>
    <s v="SALE504"/>
    <d v="2025-10-13T00:00:00"/>
    <s v="CUST1167"/>
    <s v="PROD47"/>
    <x v="17"/>
    <n v="3"/>
    <n v="843.44"/>
    <n v="0.22"/>
    <s v="Credit Card"/>
    <x v="501"/>
  </r>
  <r>
    <s v="SALE505"/>
    <d v="2024-01-15T00:00:00"/>
    <s v="CUST1163"/>
    <s v="PROD95"/>
    <x v="8"/>
    <n v="1"/>
    <n v="301.60000000000002"/>
    <n v="0.27"/>
    <s v="Credit Card"/>
    <x v="502"/>
  </r>
  <r>
    <s v="SALE506"/>
    <d v="2025-04-25T00:00:00"/>
    <s v="CUST1042"/>
    <s v="PROD89"/>
    <x v="17"/>
    <n v="3"/>
    <n v="21.59"/>
    <n v="0.16"/>
    <s v="COD"/>
    <x v="503"/>
  </r>
  <r>
    <s v="SALE507"/>
    <d v="2024-02-24T00:00:00"/>
    <s v="CUST1212"/>
    <s v="PROD13"/>
    <x v="17"/>
    <n v="4"/>
    <n v="284.24"/>
    <n v="0.09"/>
    <s v="Credit Card"/>
    <x v="504"/>
  </r>
  <r>
    <s v="SALE508"/>
    <d v="2024-12-30T00:00:00"/>
    <s v="CUST1368"/>
    <s v="PROD5"/>
    <x v="11"/>
    <n v="1"/>
    <n v="191.6"/>
    <n v="0.27"/>
    <s v="PayPal"/>
    <x v="505"/>
  </r>
  <r>
    <s v="SALE509"/>
    <d v="2025-04-15T00:00:00"/>
    <s v="CUST1311"/>
    <s v="PROD78"/>
    <x v="18"/>
    <n v="2"/>
    <n v="616.97"/>
    <n v="0.22"/>
    <s v="Credit Card"/>
    <x v="506"/>
  </r>
  <r>
    <s v="SALE510"/>
    <d v="2024-10-15T00:00:00"/>
    <s v="CUST1168"/>
    <s v="PROD28"/>
    <x v="15"/>
    <n v="3"/>
    <n v="125.68"/>
    <n v="0.26"/>
    <s v="COD"/>
    <x v="507"/>
  </r>
  <r>
    <s v="SALE511"/>
    <d v="2025-01-19T00:00:00"/>
    <s v="CUST1352"/>
    <s v="PROD43"/>
    <x v="5"/>
    <n v="3"/>
    <n v="307.48"/>
    <n v="0.24"/>
    <s v="Credit Card"/>
    <x v="508"/>
  </r>
  <r>
    <s v="SALE512"/>
    <d v="2024-07-22T00:00:00"/>
    <s v="CUST1298"/>
    <s v="PROD2"/>
    <x v="12"/>
    <n v="1"/>
    <n v="505.23"/>
    <n v="0.11"/>
    <s v="Credit Card"/>
    <x v="509"/>
  </r>
  <r>
    <s v="SALE513"/>
    <d v="2025-03-19T00:00:00"/>
    <s v="CUST1365"/>
    <s v="PROD45"/>
    <x v="9"/>
    <n v="1"/>
    <n v="853.12"/>
    <n v="0.19"/>
    <s v="COD"/>
    <x v="510"/>
  </r>
  <r>
    <s v="SALE514"/>
    <d v="2024-01-21T00:00:00"/>
    <s v="CUST1129"/>
    <s v="PROD0"/>
    <x v="4"/>
    <n v="4"/>
    <n v="191.65"/>
    <n v="0.19"/>
    <s v="PayPal"/>
    <x v="511"/>
  </r>
  <r>
    <s v="SALE515"/>
    <d v="2023-12-26T00:00:00"/>
    <s v="CUST1160"/>
    <s v="PROD47"/>
    <x v="0"/>
    <n v="1"/>
    <n v="169.69"/>
    <n v="0.22"/>
    <s v="Credit Card"/>
    <x v="512"/>
  </r>
  <r>
    <s v="SALE516"/>
    <d v="2024-03-21T00:00:00"/>
    <s v="CUST1175"/>
    <s v="PROD62"/>
    <x v="7"/>
    <n v="1"/>
    <n v="145.43"/>
    <n v="0.08"/>
    <s v="Credit Card"/>
    <x v="513"/>
  </r>
  <r>
    <s v="SALE517"/>
    <d v="2024-12-07T00:00:00"/>
    <s v="CUST1084"/>
    <s v="PROD93"/>
    <x v="18"/>
    <n v="4"/>
    <n v="828.35"/>
    <n v="0.17"/>
    <s v="Credit Card"/>
    <x v="514"/>
  </r>
  <r>
    <s v="SALE518"/>
    <d v="2024-11-02T00:00:00"/>
    <s v="CUST1362"/>
    <s v="PROD95"/>
    <x v="4"/>
    <n v="3"/>
    <n v="268.76"/>
    <n v="0.01"/>
    <s v="PayPal"/>
    <x v="515"/>
  </r>
  <r>
    <s v="SALE519"/>
    <d v="2024-07-22T00:00:00"/>
    <s v="CUST1233"/>
    <s v="PROD88"/>
    <x v="6"/>
    <n v="4"/>
    <n v="370.09"/>
    <n v="0.22"/>
    <s v="COD"/>
    <x v="516"/>
  </r>
  <r>
    <s v="SALE520"/>
    <d v="2023-10-30T00:00:00"/>
    <s v="CUST1253"/>
    <s v="PROD78"/>
    <x v="16"/>
    <n v="3"/>
    <n v="679.22"/>
    <n v="0.11"/>
    <s v="PayPal"/>
    <x v="517"/>
  </r>
  <r>
    <s v="SALE521"/>
    <d v="2024-05-21T00:00:00"/>
    <s v="CUST1373"/>
    <s v="PROD73"/>
    <x v="6"/>
    <n v="3"/>
    <n v="780.69"/>
    <n v="0.1"/>
    <s v="COD"/>
    <x v="518"/>
  </r>
  <r>
    <s v="SALE522"/>
    <d v="2025-04-19T00:00:00"/>
    <s v="CUST1261"/>
    <s v="PROD42"/>
    <x v="17"/>
    <n v="2"/>
    <n v="42.97"/>
    <n v="0.18"/>
    <s v="PayPal"/>
    <x v="519"/>
  </r>
  <r>
    <s v="SALE523"/>
    <d v="2024-12-13T00:00:00"/>
    <s v="CUST1286"/>
    <s v="PROD82"/>
    <x v="6"/>
    <n v="4"/>
    <n v="854.37"/>
    <n v="7.0000000000000007E-2"/>
    <s v="PayPal"/>
    <x v="520"/>
  </r>
  <r>
    <s v="SALE524"/>
    <d v="2025-04-27T00:00:00"/>
    <s v="CUST1100"/>
    <s v="PROD24"/>
    <x v="9"/>
    <n v="2"/>
    <n v="409.52"/>
    <n v="0.06"/>
    <s v="COD"/>
    <x v="521"/>
  </r>
  <r>
    <s v="SALE525"/>
    <d v="2024-10-04T00:00:00"/>
    <s v="CUST1164"/>
    <s v="PROD74"/>
    <x v="15"/>
    <n v="2"/>
    <n v="407.46"/>
    <n v="0.21"/>
    <s v="Credit Card"/>
    <x v="522"/>
  </r>
  <r>
    <s v="SALE526"/>
    <d v="2025-07-18T00:00:00"/>
    <s v="CUST1228"/>
    <s v="PROD4"/>
    <x v="2"/>
    <n v="1"/>
    <n v="728.84"/>
    <n v="0.28000000000000003"/>
    <s v="PayPal"/>
    <x v="523"/>
  </r>
  <r>
    <s v="SALE527"/>
    <d v="2024-03-11T00:00:00"/>
    <s v="CUST1453"/>
    <s v="PROD78"/>
    <x v="16"/>
    <n v="4"/>
    <n v="467.24"/>
    <n v="0.08"/>
    <s v="PayPal"/>
    <x v="524"/>
  </r>
  <r>
    <s v="SALE528"/>
    <d v="2024-06-14T00:00:00"/>
    <s v="CUST1092"/>
    <s v="PROD10"/>
    <x v="19"/>
    <n v="1"/>
    <n v="57.94"/>
    <n v="0.13"/>
    <s v="PayPal"/>
    <x v="525"/>
  </r>
  <r>
    <s v="SALE529"/>
    <d v="2024-02-16T00:00:00"/>
    <s v="CUST1344"/>
    <s v="PROD49"/>
    <x v="1"/>
    <n v="1"/>
    <n v="540.1"/>
    <n v="0.22"/>
    <s v="Credit Card"/>
    <x v="526"/>
  </r>
  <r>
    <s v="SALE530"/>
    <d v="2024-09-17T00:00:00"/>
    <s v="CUST1077"/>
    <s v="PROD8"/>
    <x v="12"/>
    <n v="4"/>
    <n v="816.28"/>
    <n v="0.15"/>
    <s v="COD"/>
    <x v="527"/>
  </r>
  <r>
    <s v="SALE531"/>
    <d v="2025-08-26T00:00:00"/>
    <s v="CUST1178"/>
    <s v="PROD42"/>
    <x v="2"/>
    <n v="4"/>
    <n v="727.49"/>
    <n v="0.11"/>
    <s v="Credit Card"/>
    <x v="528"/>
  </r>
  <r>
    <s v="SALE532"/>
    <d v="2024-06-04T00:00:00"/>
    <s v="CUST1171"/>
    <s v="PROD86"/>
    <x v="13"/>
    <n v="4"/>
    <n v="817.92"/>
    <n v="0.21"/>
    <s v="Credit Card"/>
    <x v="529"/>
  </r>
  <r>
    <s v="SALE533"/>
    <d v="2024-10-13T00:00:00"/>
    <s v="CUST1325"/>
    <s v="PROD38"/>
    <x v="4"/>
    <n v="2"/>
    <n v="358.45"/>
    <n v="7.0000000000000007E-2"/>
    <s v="COD"/>
    <x v="530"/>
  </r>
  <r>
    <s v="SALE534"/>
    <d v="2025-02-09T00:00:00"/>
    <s v="CUST1201"/>
    <s v="PROD87"/>
    <x v="11"/>
    <n v="1"/>
    <n v="972.06"/>
    <n v="0.3"/>
    <s v="COD"/>
    <x v="531"/>
  </r>
  <r>
    <s v="SALE535"/>
    <d v="2023-12-21T00:00:00"/>
    <s v="CUST1032"/>
    <s v="PROD16"/>
    <x v="6"/>
    <n v="1"/>
    <n v="791.36"/>
    <n v="0.06"/>
    <s v="PayPal"/>
    <x v="532"/>
  </r>
  <r>
    <s v="SALE536"/>
    <d v="2025-07-17T00:00:00"/>
    <s v="CUST1314"/>
    <s v="PROD64"/>
    <x v="3"/>
    <n v="4"/>
    <n v="839.65"/>
    <n v="0.26"/>
    <s v="COD"/>
    <x v="533"/>
  </r>
  <r>
    <s v="SALE537"/>
    <d v="2025-05-16T00:00:00"/>
    <s v="CUST1255"/>
    <s v="PROD72"/>
    <x v="17"/>
    <n v="2"/>
    <n v="245.52"/>
    <n v="0.11"/>
    <s v="COD"/>
    <x v="534"/>
  </r>
  <r>
    <s v="SALE538"/>
    <d v="2025-08-12T00:00:00"/>
    <s v="CUST1388"/>
    <s v="PROD82"/>
    <x v="2"/>
    <n v="3"/>
    <n v="787.91"/>
    <n v="0.06"/>
    <s v="PayPal"/>
    <x v="535"/>
  </r>
  <r>
    <s v="SALE539"/>
    <d v="2025-08-21T00:00:00"/>
    <s v="CUST1053"/>
    <s v="PROD75"/>
    <x v="5"/>
    <n v="2"/>
    <n v="709.17"/>
    <n v="0.22"/>
    <s v="Credit Card"/>
    <x v="536"/>
  </r>
  <r>
    <s v="SALE540"/>
    <d v="2023-11-21T00:00:00"/>
    <s v="CUST1235"/>
    <s v="PROD91"/>
    <x v="4"/>
    <n v="2"/>
    <n v="533.91999999999996"/>
    <n v="0.13"/>
    <s v="Credit Card"/>
    <x v="537"/>
  </r>
  <r>
    <s v="SALE541"/>
    <d v="2025-02-07T00:00:00"/>
    <s v="CUST1492"/>
    <s v="PROD42"/>
    <x v="6"/>
    <n v="1"/>
    <n v="878.84"/>
    <n v="0.28000000000000003"/>
    <s v="COD"/>
    <x v="538"/>
  </r>
  <r>
    <s v="SALE542"/>
    <d v="2023-12-27T00:00:00"/>
    <s v="CUST1204"/>
    <s v="PROD44"/>
    <x v="9"/>
    <n v="1"/>
    <n v="442.36"/>
    <n v="0.14000000000000001"/>
    <s v="Credit Card"/>
    <x v="539"/>
  </r>
  <r>
    <s v="SALE543"/>
    <d v="2025-02-23T00:00:00"/>
    <s v="CUST1333"/>
    <s v="PROD35"/>
    <x v="16"/>
    <n v="1"/>
    <n v="763.34"/>
    <n v="0.11"/>
    <s v="COD"/>
    <x v="540"/>
  </r>
  <r>
    <s v="SALE544"/>
    <d v="2025-07-04T00:00:00"/>
    <s v="CUST1166"/>
    <s v="PROD59"/>
    <x v="14"/>
    <n v="3"/>
    <n v="178.22"/>
    <n v="0.15"/>
    <s v="COD"/>
    <x v="541"/>
  </r>
  <r>
    <s v="SALE545"/>
    <d v="2023-11-25T00:00:00"/>
    <s v="CUST1103"/>
    <s v="PROD26"/>
    <x v="8"/>
    <n v="4"/>
    <n v="90.32"/>
    <n v="0.08"/>
    <s v="PayPal"/>
    <x v="542"/>
  </r>
  <r>
    <s v="SALE546"/>
    <d v="2025-02-07T00:00:00"/>
    <s v="CUST1378"/>
    <s v="PROD10"/>
    <x v="16"/>
    <n v="3"/>
    <n v="370.93"/>
    <n v="0"/>
    <s v="Credit Card"/>
    <x v="543"/>
  </r>
  <r>
    <s v="SALE547"/>
    <d v="2023-12-21T00:00:00"/>
    <s v="CUST1046"/>
    <s v="PROD23"/>
    <x v="10"/>
    <n v="1"/>
    <n v="352.43"/>
    <n v="0.14000000000000001"/>
    <s v="PayPal"/>
    <x v="544"/>
  </r>
  <r>
    <s v="SALE548"/>
    <d v="2024-01-04T00:00:00"/>
    <s v="CUST1123"/>
    <s v="PROD12"/>
    <x v="10"/>
    <n v="2"/>
    <n v="562.97"/>
    <n v="0.2"/>
    <s v="Credit Card"/>
    <x v="545"/>
  </r>
  <r>
    <s v="SALE549"/>
    <d v="2023-11-30T00:00:00"/>
    <s v="CUST1157"/>
    <s v="PROD55"/>
    <x v="4"/>
    <n v="1"/>
    <n v="522.85"/>
    <n v="0.12"/>
    <s v="PayPal"/>
    <x v="546"/>
  </r>
  <r>
    <s v="SALE550"/>
    <d v="2025-07-13T00:00:00"/>
    <s v="CUST1349"/>
    <s v="PROD21"/>
    <x v="9"/>
    <n v="4"/>
    <n v="714.89"/>
    <n v="0.15"/>
    <s v="Credit Card"/>
    <x v="547"/>
  </r>
  <r>
    <s v="SALE551"/>
    <d v="2023-10-23T00:00:00"/>
    <s v="CUST1187"/>
    <s v="PROD43"/>
    <x v="17"/>
    <n v="3"/>
    <n v="137.77000000000001"/>
    <n v="0.26"/>
    <s v="PayPal"/>
    <x v="548"/>
  </r>
  <r>
    <s v="SALE552"/>
    <d v="2025-10-10T00:00:00"/>
    <s v="CUST1027"/>
    <s v="PROD92"/>
    <x v="19"/>
    <n v="3"/>
    <n v="862.18"/>
    <n v="0.22"/>
    <s v="PayPal"/>
    <x v="549"/>
  </r>
  <r>
    <s v="SALE553"/>
    <d v="2025-06-14T00:00:00"/>
    <s v="CUST1057"/>
    <s v="PROD38"/>
    <x v="7"/>
    <n v="2"/>
    <n v="833.64"/>
    <n v="0.24"/>
    <s v="PayPal"/>
    <x v="550"/>
  </r>
  <r>
    <s v="SALE554"/>
    <d v="2025-04-05T00:00:00"/>
    <s v="CUST1270"/>
    <s v="PROD19"/>
    <x v="10"/>
    <n v="3"/>
    <n v="543.22"/>
    <n v="0.05"/>
    <s v="COD"/>
    <x v="551"/>
  </r>
  <r>
    <s v="SALE555"/>
    <d v="2025-01-20T00:00:00"/>
    <s v="CUST1278"/>
    <s v="PROD88"/>
    <x v="17"/>
    <n v="3"/>
    <n v="691.02"/>
    <n v="0.12"/>
    <s v="COD"/>
    <x v="552"/>
  </r>
  <r>
    <s v="SALE556"/>
    <d v="2023-11-23T00:00:00"/>
    <s v="CUST1087"/>
    <s v="PROD86"/>
    <x v="1"/>
    <n v="4"/>
    <n v="338.73"/>
    <n v="0.18"/>
    <s v="Credit Card"/>
    <x v="553"/>
  </r>
  <r>
    <s v="SALE557"/>
    <d v="2024-04-07T00:00:00"/>
    <s v="CUST1062"/>
    <s v="PROD84"/>
    <x v="9"/>
    <n v="3"/>
    <n v="366.08"/>
    <n v="0.05"/>
    <s v="Credit Card"/>
    <x v="554"/>
  </r>
  <r>
    <s v="SALE558"/>
    <d v="2025-07-02T00:00:00"/>
    <s v="CUST1105"/>
    <s v="PROD13"/>
    <x v="13"/>
    <n v="4"/>
    <n v="539.48"/>
    <n v="0.28000000000000003"/>
    <s v="COD"/>
    <x v="555"/>
  </r>
  <r>
    <s v="SALE559"/>
    <d v="2023-11-26T00:00:00"/>
    <s v="CUST1389"/>
    <s v="PROD91"/>
    <x v="9"/>
    <n v="1"/>
    <n v="499.59"/>
    <n v="0.03"/>
    <s v="COD"/>
    <x v="556"/>
  </r>
  <r>
    <s v="SALE560"/>
    <d v="2024-02-04T00:00:00"/>
    <s v="CUST1188"/>
    <s v="PROD30"/>
    <x v="2"/>
    <n v="3"/>
    <n v="330.04"/>
    <n v="0.2"/>
    <s v="Credit Card"/>
    <x v="557"/>
  </r>
  <r>
    <s v="SALE561"/>
    <d v="2024-06-16T00:00:00"/>
    <s v="CUST1182"/>
    <s v="PROD11"/>
    <x v="1"/>
    <n v="2"/>
    <n v="813.01"/>
    <n v="0.06"/>
    <s v="PayPal"/>
    <x v="558"/>
  </r>
  <r>
    <s v="SALE562"/>
    <d v="2025-02-27T00:00:00"/>
    <s v="CUST1026"/>
    <s v="PROD1"/>
    <x v="17"/>
    <n v="4"/>
    <n v="204.8"/>
    <n v="0.03"/>
    <s v="PayPal"/>
    <x v="559"/>
  </r>
  <r>
    <s v="SALE563"/>
    <d v="2023-10-24T00:00:00"/>
    <s v="CUST1011"/>
    <s v="PROD3"/>
    <x v="0"/>
    <n v="3"/>
    <n v="728.32"/>
    <n v="0.01"/>
    <s v="Credit Card"/>
    <x v="560"/>
  </r>
  <r>
    <s v="SALE564"/>
    <d v="2024-08-03T00:00:00"/>
    <s v="CUST1452"/>
    <s v="PROD59"/>
    <x v="4"/>
    <n v="3"/>
    <n v="836.4"/>
    <n v="0"/>
    <s v="Credit Card"/>
    <x v="561"/>
  </r>
  <r>
    <s v="SALE565"/>
    <d v="2025-07-05T00:00:00"/>
    <s v="CUST1149"/>
    <s v="PROD90"/>
    <x v="18"/>
    <n v="1"/>
    <n v="780.16"/>
    <n v="0.02"/>
    <s v="COD"/>
    <x v="562"/>
  </r>
  <r>
    <s v="SALE566"/>
    <d v="2025-05-27T00:00:00"/>
    <s v="CUST1470"/>
    <s v="PROD46"/>
    <x v="13"/>
    <n v="4"/>
    <n v="354.12"/>
    <n v="0.06"/>
    <s v="PayPal"/>
    <x v="563"/>
  </r>
  <r>
    <s v="SALE567"/>
    <d v="2024-11-06T00:00:00"/>
    <s v="CUST1452"/>
    <s v="PROD63"/>
    <x v="17"/>
    <n v="4"/>
    <n v="282.48"/>
    <n v="0.11"/>
    <s v="PayPal"/>
    <x v="564"/>
  </r>
  <r>
    <s v="SALE568"/>
    <d v="2024-06-03T00:00:00"/>
    <s v="CUST1328"/>
    <s v="PROD20"/>
    <x v="16"/>
    <n v="2"/>
    <n v="740.68"/>
    <n v="0.02"/>
    <s v="PayPal"/>
    <x v="565"/>
  </r>
  <r>
    <s v="SALE569"/>
    <d v="2024-04-02T00:00:00"/>
    <s v="CUST1105"/>
    <s v="PROD56"/>
    <x v="11"/>
    <n v="3"/>
    <n v="600.58000000000004"/>
    <n v="0.28999999999999998"/>
    <s v="COD"/>
    <x v="566"/>
  </r>
  <r>
    <s v="SALE570"/>
    <d v="2024-02-26T00:00:00"/>
    <s v="CUST1461"/>
    <s v="PROD65"/>
    <x v="0"/>
    <n v="3"/>
    <n v="345.58"/>
    <n v="0.22"/>
    <s v="Credit Card"/>
    <x v="567"/>
  </r>
  <r>
    <s v="SALE571"/>
    <d v="2025-01-31T00:00:00"/>
    <s v="CUST1284"/>
    <s v="PROD18"/>
    <x v="19"/>
    <n v="1"/>
    <n v="974.52"/>
    <n v="0.01"/>
    <s v="PayPal"/>
    <x v="568"/>
  </r>
  <r>
    <s v="SALE572"/>
    <d v="2023-11-19T00:00:00"/>
    <s v="CUST1040"/>
    <s v="PROD17"/>
    <x v="8"/>
    <n v="3"/>
    <n v="282.33"/>
    <n v="7.0000000000000007E-2"/>
    <s v="Credit Card"/>
    <x v="569"/>
  </r>
  <r>
    <s v="SALE573"/>
    <d v="2025-03-10T00:00:00"/>
    <s v="CUST1382"/>
    <s v="PROD76"/>
    <x v="12"/>
    <n v="4"/>
    <n v="158.46"/>
    <n v="0.09"/>
    <s v="PayPal"/>
    <x v="570"/>
  </r>
  <r>
    <s v="SALE574"/>
    <d v="2023-12-23T00:00:00"/>
    <s v="CUST1343"/>
    <s v="PROD55"/>
    <x v="4"/>
    <n v="2"/>
    <n v="778.56"/>
    <n v="0.11"/>
    <s v="COD"/>
    <x v="571"/>
  </r>
  <r>
    <s v="SALE575"/>
    <d v="2024-03-02T00:00:00"/>
    <s v="CUST1237"/>
    <s v="PROD50"/>
    <x v="12"/>
    <n v="4"/>
    <n v="280.16000000000003"/>
    <n v="0.18"/>
    <s v="COD"/>
    <x v="572"/>
  </r>
  <r>
    <s v="SALE576"/>
    <d v="2024-10-27T00:00:00"/>
    <s v="CUST1287"/>
    <s v="PROD71"/>
    <x v="13"/>
    <n v="2"/>
    <n v="649.54999999999995"/>
    <n v="0.28999999999999998"/>
    <s v="PayPal"/>
    <x v="573"/>
  </r>
  <r>
    <s v="SALE577"/>
    <d v="2024-03-09T00:00:00"/>
    <s v="CUST1007"/>
    <s v="PROD88"/>
    <x v="17"/>
    <n v="2"/>
    <n v="994.32"/>
    <n v="0.27"/>
    <s v="PayPal"/>
    <x v="574"/>
  </r>
  <r>
    <s v="SALE578"/>
    <d v="2024-12-23T00:00:00"/>
    <s v="CUST1223"/>
    <s v="PROD81"/>
    <x v="18"/>
    <n v="1"/>
    <n v="64.94"/>
    <n v="0.21"/>
    <s v="PayPal"/>
    <x v="575"/>
  </r>
  <r>
    <s v="SALE579"/>
    <d v="2025-02-21T00:00:00"/>
    <s v="CUST1136"/>
    <s v="PROD39"/>
    <x v="4"/>
    <n v="2"/>
    <n v="507.66"/>
    <n v="0"/>
    <s v="COD"/>
    <x v="576"/>
  </r>
  <r>
    <s v="SALE580"/>
    <d v="2023-12-13T00:00:00"/>
    <s v="CUST1242"/>
    <s v="PROD81"/>
    <x v="5"/>
    <n v="4"/>
    <n v="968.27"/>
    <n v="0.03"/>
    <s v="PayPal"/>
    <x v="577"/>
  </r>
  <r>
    <s v="SALE581"/>
    <d v="2023-11-20T00:00:00"/>
    <s v="CUST1017"/>
    <s v="PROD88"/>
    <x v="3"/>
    <n v="4"/>
    <n v="510.33"/>
    <n v="0.2"/>
    <s v="PayPal"/>
    <x v="578"/>
  </r>
  <r>
    <s v="SALE582"/>
    <d v="2024-09-04T00:00:00"/>
    <s v="CUST1011"/>
    <s v="PROD44"/>
    <x v="12"/>
    <n v="2"/>
    <n v="156.72999999999999"/>
    <n v="0.18"/>
    <s v="COD"/>
    <x v="579"/>
  </r>
  <r>
    <s v="SALE583"/>
    <d v="2025-06-02T00:00:00"/>
    <s v="CUST1142"/>
    <s v="PROD99"/>
    <x v="15"/>
    <n v="3"/>
    <n v="53.83"/>
    <n v="0.24"/>
    <s v="Credit Card"/>
    <x v="580"/>
  </r>
  <r>
    <s v="SALE584"/>
    <d v="2024-02-28T00:00:00"/>
    <s v="CUST1377"/>
    <s v="PROD78"/>
    <x v="5"/>
    <n v="1"/>
    <n v="34.71"/>
    <n v="0.1"/>
    <s v="COD"/>
    <x v="581"/>
  </r>
  <r>
    <s v="SALE585"/>
    <d v="2024-12-07T00:00:00"/>
    <s v="CUST1229"/>
    <s v="PROD77"/>
    <x v="8"/>
    <n v="2"/>
    <n v="829.15"/>
    <n v="0.11"/>
    <s v="PayPal"/>
    <x v="582"/>
  </r>
  <r>
    <s v="SALE586"/>
    <d v="2025-05-21T00:00:00"/>
    <s v="CUST1264"/>
    <s v="PROD98"/>
    <x v="0"/>
    <n v="2"/>
    <n v="481.86"/>
    <n v="0.1"/>
    <s v="COD"/>
    <x v="583"/>
  </r>
  <r>
    <s v="SALE587"/>
    <d v="2024-03-03T00:00:00"/>
    <s v="CUST1147"/>
    <s v="PROD52"/>
    <x v="4"/>
    <n v="4"/>
    <n v="915.17"/>
    <n v="0.19"/>
    <s v="COD"/>
    <x v="584"/>
  </r>
  <r>
    <s v="SALE588"/>
    <d v="2024-03-06T00:00:00"/>
    <s v="CUST1214"/>
    <s v="PROD71"/>
    <x v="14"/>
    <n v="1"/>
    <n v="250.95"/>
    <n v="0.03"/>
    <s v="PayPal"/>
    <x v="585"/>
  </r>
  <r>
    <s v="SALE589"/>
    <d v="2023-11-27T00:00:00"/>
    <s v="CUST1325"/>
    <s v="PROD96"/>
    <x v="3"/>
    <n v="3"/>
    <n v="882.84"/>
    <n v="0.1"/>
    <s v="Credit Card"/>
    <x v="586"/>
  </r>
  <r>
    <s v="SALE590"/>
    <d v="2025-02-14T00:00:00"/>
    <s v="CUST1138"/>
    <s v="PROD19"/>
    <x v="14"/>
    <n v="4"/>
    <n v="573.37"/>
    <n v="0.04"/>
    <s v="COD"/>
    <x v="587"/>
  </r>
  <r>
    <s v="SALE591"/>
    <d v="2024-01-27T00:00:00"/>
    <s v="CUST1058"/>
    <s v="PROD32"/>
    <x v="18"/>
    <n v="3"/>
    <n v="622.72"/>
    <n v="0.04"/>
    <s v="Credit Card"/>
    <x v="588"/>
  </r>
  <r>
    <s v="SALE592"/>
    <d v="2025-10-13T00:00:00"/>
    <s v="CUST1388"/>
    <s v="PROD92"/>
    <x v="1"/>
    <n v="3"/>
    <n v="259.74"/>
    <n v="0.24"/>
    <s v="Credit Card"/>
    <x v="589"/>
  </r>
  <r>
    <s v="SALE593"/>
    <d v="2025-04-22T00:00:00"/>
    <s v="CUST1054"/>
    <s v="PROD28"/>
    <x v="13"/>
    <n v="4"/>
    <n v="951.09"/>
    <n v="0.14000000000000001"/>
    <s v="COD"/>
    <x v="590"/>
  </r>
  <r>
    <s v="SALE594"/>
    <d v="2025-04-18T00:00:00"/>
    <s v="CUST1199"/>
    <s v="PROD99"/>
    <x v="17"/>
    <n v="1"/>
    <n v="71.709999999999994"/>
    <n v="0.23"/>
    <s v="COD"/>
    <x v="591"/>
  </r>
  <r>
    <s v="SALE595"/>
    <d v="2025-08-22T00:00:00"/>
    <s v="CUST1173"/>
    <s v="PROD20"/>
    <x v="4"/>
    <n v="4"/>
    <n v="894.93"/>
    <n v="0.05"/>
    <s v="COD"/>
    <x v="592"/>
  </r>
  <r>
    <s v="SALE596"/>
    <d v="2025-07-04T00:00:00"/>
    <s v="CUST1202"/>
    <s v="PROD78"/>
    <x v="2"/>
    <n v="4"/>
    <n v="870.18"/>
    <n v="0.13"/>
    <s v="COD"/>
    <x v="593"/>
  </r>
  <r>
    <s v="SALE597"/>
    <d v="2024-03-31T00:00:00"/>
    <s v="CUST1278"/>
    <s v="PROD64"/>
    <x v="17"/>
    <n v="2"/>
    <n v="552.72"/>
    <n v="0.06"/>
    <s v="PayPal"/>
    <x v="594"/>
  </r>
  <r>
    <s v="SALE598"/>
    <d v="2023-11-06T00:00:00"/>
    <s v="CUST1246"/>
    <s v="PROD39"/>
    <x v="2"/>
    <n v="3"/>
    <n v="700.43"/>
    <n v="0.01"/>
    <s v="COD"/>
    <x v="595"/>
  </r>
  <r>
    <s v="SALE599"/>
    <d v="2025-05-29T00:00:00"/>
    <s v="CUST1339"/>
    <s v="PROD9"/>
    <x v="17"/>
    <n v="2"/>
    <n v="823.03"/>
    <n v="0.18"/>
    <s v="PayPal"/>
    <x v="596"/>
  </r>
  <r>
    <s v="SALE600"/>
    <d v="2024-04-19T00:00:00"/>
    <s v="CUST1255"/>
    <s v="PROD92"/>
    <x v="16"/>
    <n v="1"/>
    <n v="117.37"/>
    <n v="0.21"/>
    <s v="Credit Card"/>
    <x v="597"/>
  </r>
  <r>
    <s v="SALE601"/>
    <d v="2025-02-28T00:00:00"/>
    <s v="CUST1104"/>
    <s v="PROD56"/>
    <x v="8"/>
    <n v="4"/>
    <n v="165.37"/>
    <n v="0.28999999999999998"/>
    <s v="Credit Card"/>
    <x v="598"/>
  </r>
  <r>
    <s v="SALE602"/>
    <d v="2025-03-02T00:00:00"/>
    <s v="CUST1378"/>
    <s v="PROD6"/>
    <x v="15"/>
    <n v="3"/>
    <n v="483.06"/>
    <n v="0.05"/>
    <s v="Credit Card"/>
    <x v="599"/>
  </r>
  <r>
    <s v="SALE603"/>
    <d v="2024-03-28T00:00:00"/>
    <s v="CUST1293"/>
    <s v="PROD81"/>
    <x v="4"/>
    <n v="4"/>
    <n v="262.05"/>
    <n v="0.24"/>
    <s v="PayPal"/>
    <x v="600"/>
  </r>
  <r>
    <s v="SALE604"/>
    <d v="2024-12-09T00:00:00"/>
    <s v="CUST1463"/>
    <s v="PROD14"/>
    <x v="7"/>
    <n v="3"/>
    <n v="970.89"/>
    <n v="0.11"/>
    <s v="COD"/>
    <x v="601"/>
  </r>
  <r>
    <s v="SALE605"/>
    <d v="2023-10-23T00:00:00"/>
    <s v="CUST1216"/>
    <s v="PROD72"/>
    <x v="6"/>
    <n v="1"/>
    <n v="61.11"/>
    <n v="0.1"/>
    <s v="PayPal"/>
    <x v="602"/>
  </r>
  <r>
    <s v="SALE606"/>
    <d v="2024-09-20T00:00:00"/>
    <s v="CUST1029"/>
    <s v="PROD27"/>
    <x v="2"/>
    <n v="3"/>
    <n v="827.88"/>
    <n v="0.19"/>
    <s v="PayPal"/>
    <x v="603"/>
  </r>
  <r>
    <s v="SALE607"/>
    <d v="2024-10-18T00:00:00"/>
    <s v="CUST1430"/>
    <s v="PROD87"/>
    <x v="13"/>
    <n v="3"/>
    <n v="926.85"/>
    <n v="0.18"/>
    <s v="COD"/>
    <x v="604"/>
  </r>
  <r>
    <s v="SALE608"/>
    <d v="2025-01-05T00:00:00"/>
    <s v="CUST1317"/>
    <s v="PROD10"/>
    <x v="7"/>
    <n v="1"/>
    <n v="874.59"/>
    <n v="0.28999999999999998"/>
    <s v="PayPal"/>
    <x v="605"/>
  </r>
  <r>
    <s v="SALE609"/>
    <d v="2025-09-21T00:00:00"/>
    <s v="CUST1470"/>
    <s v="PROD15"/>
    <x v="8"/>
    <n v="4"/>
    <n v="479.11"/>
    <n v="0.24"/>
    <s v="PayPal"/>
    <x v="606"/>
  </r>
  <r>
    <s v="SALE610"/>
    <d v="2024-07-17T00:00:00"/>
    <s v="CUST1213"/>
    <s v="PROD32"/>
    <x v="1"/>
    <n v="3"/>
    <n v="182.91"/>
    <n v="0.28999999999999998"/>
    <s v="Credit Card"/>
    <x v="607"/>
  </r>
  <r>
    <s v="SALE611"/>
    <d v="2024-12-26T00:00:00"/>
    <s v="CUST1272"/>
    <s v="PROD34"/>
    <x v="3"/>
    <n v="4"/>
    <n v="745.51"/>
    <n v="0.05"/>
    <s v="Credit Card"/>
    <x v="608"/>
  </r>
  <r>
    <s v="SALE612"/>
    <d v="2024-11-02T00:00:00"/>
    <s v="CUST1481"/>
    <s v="PROD88"/>
    <x v="10"/>
    <n v="3"/>
    <n v="920.61"/>
    <n v="0.04"/>
    <s v="Credit Card"/>
    <x v="609"/>
  </r>
  <r>
    <s v="SALE613"/>
    <d v="2025-04-25T00:00:00"/>
    <s v="CUST1425"/>
    <s v="PROD75"/>
    <x v="15"/>
    <n v="4"/>
    <n v="659.03"/>
    <n v="0.15"/>
    <s v="Credit Card"/>
    <x v="610"/>
  </r>
  <r>
    <s v="SALE614"/>
    <d v="2024-02-16T00:00:00"/>
    <s v="CUST1491"/>
    <s v="PROD9"/>
    <x v="17"/>
    <n v="1"/>
    <n v="312.91000000000003"/>
    <n v="0.12"/>
    <s v="PayPal"/>
    <x v="611"/>
  </r>
  <r>
    <s v="SALE615"/>
    <d v="2024-08-20T00:00:00"/>
    <s v="CUST1228"/>
    <s v="PROD12"/>
    <x v="14"/>
    <n v="4"/>
    <n v="705.64"/>
    <n v="0.11"/>
    <s v="PayPal"/>
    <x v="612"/>
  </r>
  <r>
    <s v="SALE616"/>
    <d v="2024-07-24T00:00:00"/>
    <s v="CUST1144"/>
    <s v="PROD9"/>
    <x v="15"/>
    <n v="4"/>
    <n v="386.41"/>
    <n v="0.13"/>
    <s v="COD"/>
    <x v="613"/>
  </r>
  <r>
    <s v="SALE617"/>
    <d v="2024-08-30T00:00:00"/>
    <s v="CUST1029"/>
    <s v="PROD94"/>
    <x v="19"/>
    <n v="3"/>
    <n v="265.89"/>
    <n v="0.08"/>
    <s v="COD"/>
    <x v="614"/>
  </r>
  <r>
    <s v="SALE618"/>
    <d v="2025-09-25T00:00:00"/>
    <s v="CUST1075"/>
    <s v="PROD30"/>
    <x v="9"/>
    <n v="1"/>
    <n v="703.16"/>
    <n v="0.28999999999999998"/>
    <s v="Credit Card"/>
    <x v="615"/>
  </r>
  <r>
    <s v="SALE619"/>
    <d v="2025-04-18T00:00:00"/>
    <s v="CUST1471"/>
    <s v="PROD97"/>
    <x v="13"/>
    <n v="2"/>
    <n v="394.5"/>
    <n v="0.28999999999999998"/>
    <s v="COD"/>
    <x v="616"/>
  </r>
  <r>
    <s v="SALE620"/>
    <d v="2025-08-13T00:00:00"/>
    <s v="CUST1117"/>
    <s v="PROD97"/>
    <x v="4"/>
    <n v="3"/>
    <n v="411.25"/>
    <n v="0.05"/>
    <s v="Credit Card"/>
    <x v="617"/>
  </r>
  <r>
    <s v="SALE621"/>
    <d v="2025-09-23T00:00:00"/>
    <s v="CUST1353"/>
    <s v="PROD48"/>
    <x v="17"/>
    <n v="4"/>
    <n v="395.45"/>
    <n v="0.01"/>
    <s v="Credit Card"/>
    <x v="618"/>
  </r>
  <r>
    <s v="SALE622"/>
    <d v="2024-05-09T00:00:00"/>
    <s v="CUST1036"/>
    <s v="PROD90"/>
    <x v="3"/>
    <n v="2"/>
    <n v="678.98"/>
    <n v="0.23"/>
    <s v="Credit Card"/>
    <x v="619"/>
  </r>
  <r>
    <s v="SALE623"/>
    <d v="2024-11-12T00:00:00"/>
    <s v="CUST1072"/>
    <s v="PROD27"/>
    <x v="7"/>
    <n v="4"/>
    <n v="757.71"/>
    <n v="0.26"/>
    <s v="COD"/>
    <x v="620"/>
  </r>
  <r>
    <s v="SALE624"/>
    <d v="2024-12-18T00:00:00"/>
    <s v="CUST1059"/>
    <s v="PROD94"/>
    <x v="5"/>
    <n v="1"/>
    <n v="647.86"/>
    <n v="0.05"/>
    <s v="COD"/>
    <x v="621"/>
  </r>
  <r>
    <s v="SALE625"/>
    <d v="2024-08-13T00:00:00"/>
    <s v="CUST1135"/>
    <s v="PROD12"/>
    <x v="16"/>
    <n v="2"/>
    <n v="179.64"/>
    <n v="0.1"/>
    <s v="PayPal"/>
    <x v="622"/>
  </r>
  <r>
    <s v="SALE626"/>
    <d v="2024-09-10T00:00:00"/>
    <s v="CUST1396"/>
    <s v="PROD62"/>
    <x v="5"/>
    <n v="3"/>
    <n v="392.65"/>
    <n v="0.17"/>
    <s v="PayPal"/>
    <x v="623"/>
  </r>
  <r>
    <s v="SALE627"/>
    <d v="2024-09-12T00:00:00"/>
    <s v="CUST1176"/>
    <s v="PROD91"/>
    <x v="9"/>
    <n v="4"/>
    <n v="969.55"/>
    <n v="0.09"/>
    <s v="COD"/>
    <x v="624"/>
  </r>
  <r>
    <s v="SALE628"/>
    <d v="2024-05-21T00:00:00"/>
    <s v="CUST1462"/>
    <s v="PROD74"/>
    <x v="18"/>
    <n v="3"/>
    <n v="322.94"/>
    <n v="0.01"/>
    <s v="Credit Card"/>
    <x v="625"/>
  </r>
  <r>
    <s v="SALE629"/>
    <d v="2025-05-15T00:00:00"/>
    <s v="CUST1362"/>
    <s v="PROD83"/>
    <x v="6"/>
    <n v="1"/>
    <n v="92.83"/>
    <n v="0.26"/>
    <s v="PayPal"/>
    <x v="626"/>
  </r>
  <r>
    <s v="SALE630"/>
    <d v="2025-05-27T00:00:00"/>
    <s v="CUST1420"/>
    <s v="PROD8"/>
    <x v="0"/>
    <n v="4"/>
    <n v="432.29"/>
    <n v="0.16"/>
    <s v="COD"/>
    <x v="627"/>
  </r>
  <r>
    <s v="SALE631"/>
    <d v="2024-01-20T00:00:00"/>
    <s v="CUST1080"/>
    <s v="PROD39"/>
    <x v="13"/>
    <n v="2"/>
    <n v="925.78"/>
    <n v="0.14000000000000001"/>
    <s v="COD"/>
    <x v="628"/>
  </r>
  <r>
    <s v="SALE632"/>
    <d v="2024-11-09T00:00:00"/>
    <s v="CUST1477"/>
    <s v="PROD25"/>
    <x v="19"/>
    <n v="2"/>
    <n v="151.47"/>
    <n v="0.21"/>
    <s v="PayPal"/>
    <x v="629"/>
  </r>
  <r>
    <s v="SALE633"/>
    <d v="2024-02-16T00:00:00"/>
    <s v="CUST1449"/>
    <s v="PROD83"/>
    <x v="15"/>
    <n v="1"/>
    <n v="343.05"/>
    <n v="0.28000000000000003"/>
    <s v="PayPal"/>
    <x v="630"/>
  </r>
  <r>
    <s v="SALE634"/>
    <d v="2024-12-16T00:00:00"/>
    <s v="CUST1066"/>
    <s v="PROD17"/>
    <x v="5"/>
    <n v="1"/>
    <n v="373.06"/>
    <n v="0.11"/>
    <s v="PayPal"/>
    <x v="631"/>
  </r>
  <r>
    <s v="SALE635"/>
    <d v="2025-02-05T00:00:00"/>
    <s v="CUST1411"/>
    <s v="PROD18"/>
    <x v="10"/>
    <n v="1"/>
    <n v="124.98"/>
    <n v="7.0000000000000007E-2"/>
    <s v="COD"/>
    <x v="632"/>
  </r>
  <r>
    <s v="SALE636"/>
    <d v="2025-04-16T00:00:00"/>
    <s v="CUST1272"/>
    <s v="PROD73"/>
    <x v="12"/>
    <n v="4"/>
    <n v="221.49"/>
    <n v="0.26"/>
    <s v="PayPal"/>
    <x v="633"/>
  </r>
  <r>
    <s v="SALE637"/>
    <d v="2024-10-07T00:00:00"/>
    <s v="CUST1170"/>
    <s v="PROD23"/>
    <x v="10"/>
    <n v="1"/>
    <n v="563.32000000000005"/>
    <n v="0.01"/>
    <s v="PayPal"/>
    <x v="634"/>
  </r>
  <r>
    <s v="SALE638"/>
    <d v="2024-02-16T00:00:00"/>
    <s v="CUST1390"/>
    <s v="PROD11"/>
    <x v="6"/>
    <n v="1"/>
    <n v="362.93"/>
    <n v="0.27"/>
    <s v="Credit Card"/>
    <x v="635"/>
  </r>
  <r>
    <s v="SALE639"/>
    <d v="2024-03-22T00:00:00"/>
    <s v="CUST1336"/>
    <s v="PROD11"/>
    <x v="10"/>
    <n v="4"/>
    <n v="369.22"/>
    <n v="0.18"/>
    <s v="COD"/>
    <x v="636"/>
  </r>
  <r>
    <s v="SALE640"/>
    <d v="2024-10-25T00:00:00"/>
    <s v="CUST1410"/>
    <s v="PROD96"/>
    <x v="7"/>
    <n v="3"/>
    <n v="950.83"/>
    <n v="0.06"/>
    <s v="PayPal"/>
    <x v="637"/>
  </r>
  <r>
    <s v="SALE641"/>
    <d v="2024-03-14T00:00:00"/>
    <s v="CUST1143"/>
    <s v="PROD37"/>
    <x v="13"/>
    <n v="3"/>
    <n v="338.79"/>
    <n v="0.01"/>
    <s v="Credit Card"/>
    <x v="638"/>
  </r>
  <r>
    <s v="SALE642"/>
    <d v="2025-02-23T00:00:00"/>
    <s v="CUST1146"/>
    <s v="PROD90"/>
    <x v="8"/>
    <n v="3"/>
    <n v="853.32"/>
    <n v="7.0000000000000007E-2"/>
    <s v="COD"/>
    <x v="639"/>
  </r>
  <r>
    <s v="SALE643"/>
    <d v="2024-10-21T00:00:00"/>
    <s v="CUST1149"/>
    <s v="PROD76"/>
    <x v="16"/>
    <n v="3"/>
    <n v="89.78"/>
    <n v="0.2"/>
    <s v="COD"/>
    <x v="640"/>
  </r>
  <r>
    <s v="SALE644"/>
    <d v="2024-02-12T00:00:00"/>
    <s v="CUST1191"/>
    <s v="PROD55"/>
    <x v="8"/>
    <n v="1"/>
    <n v="172.04"/>
    <n v="0.04"/>
    <s v="PayPal"/>
    <x v="641"/>
  </r>
  <r>
    <s v="SALE645"/>
    <d v="2024-02-11T00:00:00"/>
    <s v="CUST1467"/>
    <s v="PROD54"/>
    <x v="8"/>
    <n v="1"/>
    <n v="389.2"/>
    <n v="0.05"/>
    <s v="Credit Card"/>
    <x v="642"/>
  </r>
  <r>
    <s v="SALE646"/>
    <d v="2025-05-01T00:00:00"/>
    <s v="CUST1461"/>
    <s v="PROD77"/>
    <x v="13"/>
    <n v="3"/>
    <n v="865.96"/>
    <n v="0.12"/>
    <s v="PayPal"/>
    <x v="643"/>
  </r>
  <r>
    <s v="SALE647"/>
    <d v="2024-10-27T00:00:00"/>
    <s v="CUST1169"/>
    <s v="PROD19"/>
    <x v="8"/>
    <n v="3"/>
    <n v="79.95"/>
    <n v="0.2"/>
    <s v="COD"/>
    <x v="644"/>
  </r>
  <r>
    <s v="SALE648"/>
    <d v="2023-11-29T00:00:00"/>
    <s v="CUST1381"/>
    <s v="PROD26"/>
    <x v="4"/>
    <n v="1"/>
    <n v="566.5"/>
    <n v="0.25"/>
    <s v="COD"/>
    <x v="645"/>
  </r>
  <r>
    <s v="SALE649"/>
    <d v="2025-05-24T00:00:00"/>
    <s v="CUST1402"/>
    <s v="PROD21"/>
    <x v="6"/>
    <n v="2"/>
    <n v="347.95"/>
    <n v="0.13"/>
    <s v="COD"/>
    <x v="646"/>
  </r>
  <r>
    <s v="SALE650"/>
    <d v="2024-02-25T00:00:00"/>
    <s v="CUST1209"/>
    <s v="PROD58"/>
    <x v="0"/>
    <n v="2"/>
    <n v="250.83"/>
    <n v="0.15"/>
    <s v="PayPal"/>
    <x v="647"/>
  </r>
  <r>
    <s v="SALE651"/>
    <d v="2025-03-05T00:00:00"/>
    <s v="CUST1149"/>
    <s v="PROD71"/>
    <x v="8"/>
    <n v="1"/>
    <n v="888.05"/>
    <n v="0.2"/>
    <s v="PayPal"/>
    <x v="648"/>
  </r>
  <r>
    <s v="SALE652"/>
    <d v="2024-08-27T00:00:00"/>
    <s v="CUST1006"/>
    <s v="PROD39"/>
    <x v="14"/>
    <n v="2"/>
    <n v="673.02"/>
    <n v="0.11"/>
    <s v="PayPal"/>
    <x v="649"/>
  </r>
  <r>
    <s v="SALE653"/>
    <d v="2024-02-10T00:00:00"/>
    <s v="CUST1440"/>
    <s v="PROD64"/>
    <x v="0"/>
    <n v="2"/>
    <n v="492.62"/>
    <n v="0.26"/>
    <s v="COD"/>
    <x v="650"/>
  </r>
  <r>
    <s v="SALE654"/>
    <d v="2024-02-22T00:00:00"/>
    <s v="CUST1376"/>
    <s v="PROD85"/>
    <x v="0"/>
    <n v="4"/>
    <n v="986.93"/>
    <n v="0.01"/>
    <s v="Credit Card"/>
    <x v="651"/>
  </r>
  <r>
    <s v="SALE655"/>
    <d v="2024-04-06T00:00:00"/>
    <s v="CUST1479"/>
    <s v="PROD22"/>
    <x v="18"/>
    <n v="4"/>
    <n v="411.68"/>
    <n v="0.06"/>
    <s v="PayPal"/>
    <x v="652"/>
  </r>
  <r>
    <s v="SALE656"/>
    <d v="2024-04-15T00:00:00"/>
    <s v="CUST1219"/>
    <s v="PROD36"/>
    <x v="1"/>
    <n v="2"/>
    <n v="637.55999999999995"/>
    <n v="0.05"/>
    <s v="COD"/>
    <x v="653"/>
  </r>
  <r>
    <s v="SALE657"/>
    <d v="2024-12-07T00:00:00"/>
    <s v="CUST1014"/>
    <s v="PROD13"/>
    <x v="0"/>
    <n v="3"/>
    <n v="706.87"/>
    <n v="0.27"/>
    <s v="Credit Card"/>
    <x v="654"/>
  </r>
  <r>
    <s v="SALE658"/>
    <d v="2024-12-03T00:00:00"/>
    <s v="CUST1055"/>
    <s v="PROD15"/>
    <x v="16"/>
    <n v="2"/>
    <n v="884.48"/>
    <n v="0"/>
    <s v="COD"/>
    <x v="655"/>
  </r>
  <r>
    <s v="SALE659"/>
    <d v="2023-12-31T00:00:00"/>
    <s v="CUST1047"/>
    <s v="PROD92"/>
    <x v="5"/>
    <n v="3"/>
    <n v="718.23"/>
    <n v="0.19"/>
    <s v="PayPal"/>
    <x v="656"/>
  </r>
  <r>
    <s v="SALE660"/>
    <d v="2025-09-14T00:00:00"/>
    <s v="CUST1180"/>
    <s v="PROD90"/>
    <x v="14"/>
    <n v="3"/>
    <n v="107.44"/>
    <n v="0.27"/>
    <s v="PayPal"/>
    <x v="657"/>
  </r>
  <r>
    <s v="SALE661"/>
    <d v="2025-01-16T00:00:00"/>
    <s v="CUST1056"/>
    <s v="PROD46"/>
    <x v="0"/>
    <n v="4"/>
    <n v="608.97"/>
    <n v="0.14000000000000001"/>
    <s v="COD"/>
    <x v="658"/>
  </r>
  <r>
    <s v="SALE662"/>
    <d v="2025-02-01T00:00:00"/>
    <s v="CUST1354"/>
    <s v="PROD61"/>
    <x v="16"/>
    <n v="3"/>
    <n v="260.45999999999998"/>
    <n v="0.09"/>
    <s v="Credit Card"/>
    <x v="659"/>
  </r>
  <r>
    <s v="SALE663"/>
    <d v="2024-12-20T00:00:00"/>
    <s v="CUST1123"/>
    <s v="PROD22"/>
    <x v="16"/>
    <n v="1"/>
    <n v="747.03"/>
    <n v="0.01"/>
    <s v="Credit Card"/>
    <x v="660"/>
  </r>
  <r>
    <s v="SALE664"/>
    <d v="2024-07-02T00:00:00"/>
    <s v="CUST1404"/>
    <s v="PROD16"/>
    <x v="2"/>
    <n v="4"/>
    <n v="700.88"/>
    <n v="0.23"/>
    <s v="PayPal"/>
    <x v="661"/>
  </r>
  <r>
    <s v="SALE665"/>
    <d v="2025-05-04T00:00:00"/>
    <s v="CUST1048"/>
    <s v="PROD95"/>
    <x v="7"/>
    <n v="4"/>
    <n v="20.09"/>
    <n v="0.16"/>
    <s v="PayPal"/>
    <x v="662"/>
  </r>
  <r>
    <s v="SALE666"/>
    <d v="2024-12-28T00:00:00"/>
    <s v="CUST1062"/>
    <s v="PROD37"/>
    <x v="19"/>
    <n v="3"/>
    <n v="917.64"/>
    <n v="0.24"/>
    <s v="PayPal"/>
    <x v="663"/>
  </r>
  <r>
    <s v="SALE667"/>
    <d v="2024-10-29T00:00:00"/>
    <s v="CUST1051"/>
    <s v="PROD21"/>
    <x v="6"/>
    <n v="1"/>
    <n v="242.08"/>
    <n v="0.18"/>
    <s v="PayPal"/>
    <x v="664"/>
  </r>
  <r>
    <s v="SALE668"/>
    <d v="2024-10-16T00:00:00"/>
    <s v="CUST1057"/>
    <s v="PROD63"/>
    <x v="4"/>
    <n v="1"/>
    <n v="536.67999999999995"/>
    <n v="0.27"/>
    <s v="Credit Card"/>
    <x v="665"/>
  </r>
  <r>
    <s v="SALE669"/>
    <d v="2025-04-01T00:00:00"/>
    <s v="CUST1094"/>
    <s v="PROD29"/>
    <x v="5"/>
    <n v="2"/>
    <n v="145.18"/>
    <n v="0.26"/>
    <s v="PayPal"/>
    <x v="666"/>
  </r>
  <r>
    <s v="SALE670"/>
    <d v="2024-03-18T00:00:00"/>
    <s v="CUST1221"/>
    <s v="PROD67"/>
    <x v="5"/>
    <n v="2"/>
    <n v="132.77000000000001"/>
    <n v="0.13"/>
    <s v="COD"/>
    <x v="667"/>
  </r>
  <r>
    <s v="SALE671"/>
    <d v="2025-02-13T00:00:00"/>
    <s v="CUST1013"/>
    <s v="PROD41"/>
    <x v="11"/>
    <n v="4"/>
    <n v="682.11"/>
    <n v="0.14000000000000001"/>
    <s v="Credit Card"/>
    <x v="668"/>
  </r>
  <r>
    <s v="SALE672"/>
    <d v="2024-08-06T00:00:00"/>
    <s v="CUST1486"/>
    <s v="PROD40"/>
    <x v="1"/>
    <n v="4"/>
    <n v="502.95"/>
    <n v="0.14000000000000001"/>
    <s v="COD"/>
    <x v="669"/>
  </r>
  <r>
    <s v="SALE673"/>
    <d v="2024-09-03T00:00:00"/>
    <s v="CUST1234"/>
    <s v="PROD37"/>
    <x v="9"/>
    <n v="2"/>
    <n v="472.08"/>
    <n v="7.0000000000000007E-2"/>
    <s v="Credit Card"/>
    <x v="670"/>
  </r>
  <r>
    <s v="SALE674"/>
    <d v="2025-01-08T00:00:00"/>
    <s v="CUST1473"/>
    <s v="PROD57"/>
    <x v="1"/>
    <n v="2"/>
    <n v="218.11"/>
    <n v="0.02"/>
    <s v="COD"/>
    <x v="671"/>
  </r>
  <r>
    <s v="SALE675"/>
    <d v="2025-07-21T00:00:00"/>
    <s v="CUST1057"/>
    <s v="PROD1"/>
    <x v="16"/>
    <n v="4"/>
    <n v="845.58"/>
    <n v="0.06"/>
    <s v="PayPal"/>
    <x v="672"/>
  </r>
  <r>
    <s v="SALE676"/>
    <d v="2023-11-25T00:00:00"/>
    <s v="CUST1128"/>
    <s v="PROD80"/>
    <x v="17"/>
    <n v="2"/>
    <n v="111.28"/>
    <n v="0.14000000000000001"/>
    <s v="Credit Card"/>
    <x v="673"/>
  </r>
  <r>
    <s v="SALE677"/>
    <d v="2025-07-04T00:00:00"/>
    <s v="CUST1177"/>
    <s v="PROD59"/>
    <x v="7"/>
    <n v="2"/>
    <n v="37.21"/>
    <n v="0.19"/>
    <s v="Credit Card"/>
    <x v="674"/>
  </r>
  <r>
    <s v="SALE678"/>
    <d v="2023-10-21T00:00:00"/>
    <s v="CUST1417"/>
    <s v="PROD62"/>
    <x v="13"/>
    <n v="1"/>
    <n v="331.73"/>
    <n v="0.04"/>
    <s v="Credit Card"/>
    <x v="675"/>
  </r>
  <r>
    <s v="SALE679"/>
    <d v="2023-12-13T00:00:00"/>
    <s v="CUST1364"/>
    <s v="PROD70"/>
    <x v="18"/>
    <n v="3"/>
    <n v="306.70999999999998"/>
    <n v="0.09"/>
    <s v="PayPal"/>
    <x v="676"/>
  </r>
  <r>
    <s v="SALE680"/>
    <d v="2024-06-13T00:00:00"/>
    <s v="CUST1270"/>
    <s v="PROD25"/>
    <x v="16"/>
    <n v="4"/>
    <n v="484.92"/>
    <n v="0.28000000000000003"/>
    <s v="PayPal"/>
    <x v="677"/>
  </r>
  <r>
    <s v="SALE681"/>
    <d v="2024-01-01T00:00:00"/>
    <s v="CUST1043"/>
    <s v="PROD50"/>
    <x v="3"/>
    <n v="2"/>
    <n v="42.04"/>
    <n v="7.0000000000000007E-2"/>
    <s v="Credit Card"/>
    <x v="678"/>
  </r>
  <r>
    <s v="SALE682"/>
    <d v="2023-12-18T00:00:00"/>
    <s v="CUST1281"/>
    <s v="PROD55"/>
    <x v="16"/>
    <n v="3"/>
    <n v="599.48"/>
    <n v="0.22"/>
    <s v="PayPal"/>
    <x v="679"/>
  </r>
  <r>
    <s v="SALE683"/>
    <d v="2023-11-02T00:00:00"/>
    <s v="CUST1357"/>
    <s v="PROD17"/>
    <x v="8"/>
    <n v="3"/>
    <n v="401.42"/>
    <n v="0.01"/>
    <s v="COD"/>
    <x v="680"/>
  </r>
  <r>
    <s v="SALE684"/>
    <d v="2025-09-07T00:00:00"/>
    <s v="CUST1192"/>
    <s v="PROD46"/>
    <x v="2"/>
    <n v="4"/>
    <n v="442.54"/>
    <n v="0.06"/>
    <s v="Credit Card"/>
    <x v="681"/>
  </r>
  <r>
    <s v="SALE685"/>
    <d v="2023-12-10T00:00:00"/>
    <s v="CUST1456"/>
    <s v="PROD88"/>
    <x v="13"/>
    <n v="4"/>
    <n v="451.41"/>
    <n v="0.06"/>
    <s v="PayPal"/>
    <x v="682"/>
  </r>
  <r>
    <s v="SALE686"/>
    <d v="2025-10-12T00:00:00"/>
    <s v="CUST1265"/>
    <s v="PROD91"/>
    <x v="11"/>
    <n v="4"/>
    <n v="547.21"/>
    <n v="0.25"/>
    <s v="Credit Card"/>
    <x v="683"/>
  </r>
  <r>
    <s v="SALE687"/>
    <d v="2025-04-03T00:00:00"/>
    <s v="CUST1203"/>
    <s v="PROD87"/>
    <x v="5"/>
    <n v="1"/>
    <n v="979.28"/>
    <n v="0.2"/>
    <s v="PayPal"/>
    <x v="684"/>
  </r>
  <r>
    <s v="SALE688"/>
    <d v="2024-01-09T00:00:00"/>
    <s v="CUST1464"/>
    <s v="PROD56"/>
    <x v="4"/>
    <n v="4"/>
    <n v="263.58999999999997"/>
    <n v="0.04"/>
    <s v="Credit Card"/>
    <x v="685"/>
  </r>
  <r>
    <s v="SALE689"/>
    <d v="2025-08-07T00:00:00"/>
    <s v="CUST1002"/>
    <s v="PROD54"/>
    <x v="3"/>
    <n v="1"/>
    <n v="692.75"/>
    <n v="0.11"/>
    <s v="COD"/>
    <x v="686"/>
  </r>
  <r>
    <s v="SALE690"/>
    <d v="2024-01-10T00:00:00"/>
    <s v="CUST1163"/>
    <s v="PROD63"/>
    <x v="0"/>
    <n v="3"/>
    <n v="142.83000000000001"/>
    <n v="0.01"/>
    <s v="Credit Card"/>
    <x v="687"/>
  </r>
  <r>
    <s v="SALE691"/>
    <d v="2025-07-19T00:00:00"/>
    <s v="CUST1124"/>
    <s v="PROD22"/>
    <x v="17"/>
    <n v="2"/>
    <n v="419.25"/>
    <n v="0.17"/>
    <s v="PayPal"/>
    <x v="688"/>
  </r>
  <r>
    <s v="SALE692"/>
    <d v="2024-12-24T00:00:00"/>
    <s v="CUST1240"/>
    <s v="PROD26"/>
    <x v="12"/>
    <n v="2"/>
    <n v="800.84"/>
    <n v="0.27"/>
    <s v="COD"/>
    <x v="689"/>
  </r>
  <r>
    <s v="SALE693"/>
    <d v="2024-08-16T00:00:00"/>
    <s v="CUST1001"/>
    <s v="PROD48"/>
    <x v="17"/>
    <n v="1"/>
    <n v="301.24"/>
    <n v="0.11"/>
    <s v="PayPal"/>
    <x v="690"/>
  </r>
  <r>
    <s v="SALE694"/>
    <d v="2024-07-24T00:00:00"/>
    <s v="CUST1288"/>
    <s v="PROD85"/>
    <x v="3"/>
    <n v="2"/>
    <n v="701.49"/>
    <n v="0.09"/>
    <s v="PayPal"/>
    <x v="691"/>
  </r>
  <r>
    <s v="SALE695"/>
    <d v="2024-11-19T00:00:00"/>
    <s v="CUST1351"/>
    <s v="PROD26"/>
    <x v="15"/>
    <n v="4"/>
    <n v="413.48"/>
    <n v="0.02"/>
    <s v="PayPal"/>
    <x v="692"/>
  </r>
  <r>
    <s v="SALE696"/>
    <d v="2024-03-14T00:00:00"/>
    <s v="CUST1197"/>
    <s v="PROD8"/>
    <x v="8"/>
    <n v="4"/>
    <n v="167.83"/>
    <n v="0.15"/>
    <s v="Credit Card"/>
    <x v="693"/>
  </r>
  <r>
    <s v="SALE697"/>
    <d v="2025-06-24T00:00:00"/>
    <s v="CUST1139"/>
    <s v="PROD15"/>
    <x v="14"/>
    <n v="2"/>
    <n v="669.12"/>
    <n v="0.22"/>
    <s v="Credit Card"/>
    <x v="694"/>
  </r>
  <r>
    <s v="SALE698"/>
    <d v="2024-08-26T00:00:00"/>
    <s v="CUST1039"/>
    <s v="PROD37"/>
    <x v="4"/>
    <n v="3"/>
    <n v="346.77"/>
    <n v="0.18"/>
    <s v="PayPal"/>
    <x v="695"/>
  </r>
  <r>
    <s v="SALE699"/>
    <d v="2025-10-09T00:00:00"/>
    <s v="CUST1059"/>
    <s v="PROD23"/>
    <x v="12"/>
    <n v="3"/>
    <n v="648.33000000000004"/>
    <n v="0.2"/>
    <s v="COD"/>
    <x v="696"/>
  </r>
  <r>
    <s v="SALE700"/>
    <d v="2024-04-19T00:00:00"/>
    <s v="CUST1285"/>
    <s v="PROD6"/>
    <x v="17"/>
    <n v="4"/>
    <n v="254.94"/>
    <n v="0.06"/>
    <s v="PayPal"/>
    <x v="697"/>
  </r>
  <r>
    <s v="SALE701"/>
    <d v="2024-05-08T00:00:00"/>
    <s v="CUST1338"/>
    <s v="PROD81"/>
    <x v="5"/>
    <n v="1"/>
    <n v="445.5"/>
    <n v="0.28000000000000003"/>
    <s v="Credit Card"/>
    <x v="698"/>
  </r>
  <r>
    <s v="SALE702"/>
    <d v="2024-06-16T00:00:00"/>
    <s v="CUST1221"/>
    <s v="PROD90"/>
    <x v="5"/>
    <n v="1"/>
    <n v="900.94"/>
    <n v="0.1"/>
    <s v="Credit Card"/>
    <x v="699"/>
  </r>
  <r>
    <s v="SALE703"/>
    <d v="2024-05-17T00:00:00"/>
    <s v="CUST1196"/>
    <s v="PROD15"/>
    <x v="9"/>
    <n v="3"/>
    <n v="262.69"/>
    <n v="0.04"/>
    <s v="PayPal"/>
    <x v="700"/>
  </r>
  <r>
    <s v="SALE704"/>
    <d v="2024-04-04T00:00:00"/>
    <s v="CUST1482"/>
    <s v="PROD68"/>
    <x v="17"/>
    <n v="3"/>
    <n v="212.72"/>
    <n v="0.22"/>
    <s v="PayPal"/>
    <x v="701"/>
  </r>
  <r>
    <s v="SALE705"/>
    <d v="2025-05-26T00:00:00"/>
    <s v="CUST1151"/>
    <s v="PROD24"/>
    <x v="14"/>
    <n v="4"/>
    <n v="757.9"/>
    <n v="0.22"/>
    <s v="PayPal"/>
    <x v="702"/>
  </r>
  <r>
    <s v="SALE706"/>
    <d v="2024-02-24T00:00:00"/>
    <s v="CUST1017"/>
    <s v="PROD80"/>
    <x v="1"/>
    <n v="1"/>
    <n v="846.04"/>
    <n v="0.08"/>
    <s v="PayPal"/>
    <x v="703"/>
  </r>
  <r>
    <s v="SALE707"/>
    <d v="2023-12-07T00:00:00"/>
    <s v="CUST1159"/>
    <s v="PROD38"/>
    <x v="4"/>
    <n v="3"/>
    <n v="179.7"/>
    <n v="0.17"/>
    <s v="COD"/>
    <x v="704"/>
  </r>
  <r>
    <s v="SALE708"/>
    <d v="2024-10-07T00:00:00"/>
    <s v="CUST1446"/>
    <s v="PROD31"/>
    <x v="5"/>
    <n v="4"/>
    <n v="681.08"/>
    <n v="0"/>
    <s v="PayPal"/>
    <x v="705"/>
  </r>
  <r>
    <s v="SALE709"/>
    <d v="2023-11-22T00:00:00"/>
    <s v="CUST1403"/>
    <s v="PROD4"/>
    <x v="4"/>
    <n v="4"/>
    <n v="723.44"/>
    <n v="0.14000000000000001"/>
    <s v="PayPal"/>
    <x v="706"/>
  </r>
  <r>
    <s v="SALE710"/>
    <d v="2025-10-09T00:00:00"/>
    <s v="CUST1126"/>
    <s v="PROD31"/>
    <x v="7"/>
    <n v="4"/>
    <n v="471.89"/>
    <n v="0.12"/>
    <s v="COD"/>
    <x v="707"/>
  </r>
  <r>
    <s v="SALE711"/>
    <d v="2024-09-24T00:00:00"/>
    <s v="CUST1366"/>
    <s v="PROD71"/>
    <x v="1"/>
    <n v="1"/>
    <n v="613.17999999999995"/>
    <n v="0.14000000000000001"/>
    <s v="COD"/>
    <x v="708"/>
  </r>
  <r>
    <s v="SALE712"/>
    <d v="2023-10-30T00:00:00"/>
    <s v="CUST1051"/>
    <s v="PROD43"/>
    <x v="5"/>
    <n v="1"/>
    <n v="651.30999999999995"/>
    <n v="0.24"/>
    <s v="PayPal"/>
    <x v="709"/>
  </r>
  <r>
    <s v="SALE713"/>
    <d v="2024-02-11T00:00:00"/>
    <s v="CUST1024"/>
    <s v="PROD3"/>
    <x v="16"/>
    <n v="2"/>
    <n v="635.14"/>
    <n v="0.1"/>
    <s v="COD"/>
    <x v="710"/>
  </r>
  <r>
    <s v="SALE714"/>
    <d v="2025-04-05T00:00:00"/>
    <s v="CUST1380"/>
    <s v="PROD98"/>
    <x v="7"/>
    <n v="4"/>
    <n v="912.61"/>
    <n v="0.14000000000000001"/>
    <s v="Credit Card"/>
    <x v="711"/>
  </r>
  <r>
    <s v="SALE715"/>
    <d v="2025-05-18T00:00:00"/>
    <s v="CUST1274"/>
    <s v="PROD47"/>
    <x v="4"/>
    <n v="3"/>
    <n v="79.77"/>
    <n v="0.09"/>
    <s v="Credit Card"/>
    <x v="712"/>
  </r>
  <r>
    <s v="SALE716"/>
    <d v="2025-04-08T00:00:00"/>
    <s v="CUST1277"/>
    <s v="PROD94"/>
    <x v="10"/>
    <n v="4"/>
    <n v="603.52"/>
    <n v="0.25"/>
    <s v="Credit Card"/>
    <x v="713"/>
  </r>
  <r>
    <s v="SALE717"/>
    <d v="2024-11-29T00:00:00"/>
    <s v="CUST1077"/>
    <s v="PROD77"/>
    <x v="18"/>
    <n v="4"/>
    <n v="453.12"/>
    <n v="0.23"/>
    <s v="COD"/>
    <x v="714"/>
  </r>
  <r>
    <s v="SALE718"/>
    <d v="2024-12-30T00:00:00"/>
    <s v="CUST1497"/>
    <s v="PROD33"/>
    <x v="11"/>
    <n v="2"/>
    <n v="974.35"/>
    <n v="0.15"/>
    <s v="Credit Card"/>
    <x v="715"/>
  </r>
  <r>
    <s v="SALE719"/>
    <d v="2025-06-16T00:00:00"/>
    <s v="CUST1476"/>
    <s v="PROD95"/>
    <x v="1"/>
    <n v="4"/>
    <n v="52.35"/>
    <n v="0.23"/>
    <s v="COD"/>
    <x v="716"/>
  </r>
  <r>
    <s v="SALE720"/>
    <d v="2025-06-16T00:00:00"/>
    <s v="CUST1370"/>
    <s v="PROD65"/>
    <x v="1"/>
    <n v="3"/>
    <n v="681.58"/>
    <n v="0.23"/>
    <s v="Credit Card"/>
    <x v="717"/>
  </r>
  <r>
    <s v="SALE721"/>
    <d v="2024-04-02T00:00:00"/>
    <s v="CUST1177"/>
    <s v="PROD83"/>
    <x v="10"/>
    <n v="3"/>
    <n v="71.23"/>
    <n v="0.03"/>
    <s v="Credit Card"/>
    <x v="718"/>
  </r>
  <r>
    <s v="SALE722"/>
    <d v="2024-03-28T00:00:00"/>
    <s v="CUST1241"/>
    <s v="PROD15"/>
    <x v="7"/>
    <n v="1"/>
    <n v="31.36"/>
    <n v="0.21"/>
    <s v="COD"/>
    <x v="719"/>
  </r>
  <r>
    <s v="SALE723"/>
    <d v="2025-01-17T00:00:00"/>
    <s v="CUST1341"/>
    <s v="PROD41"/>
    <x v="13"/>
    <n v="2"/>
    <n v="555.54999999999995"/>
    <n v="0.14000000000000001"/>
    <s v="Credit Card"/>
    <x v="720"/>
  </r>
  <r>
    <s v="SALE724"/>
    <d v="2025-04-13T00:00:00"/>
    <s v="CUST1251"/>
    <s v="PROD66"/>
    <x v="9"/>
    <n v="4"/>
    <n v="805.99"/>
    <n v="0.06"/>
    <s v="Credit Card"/>
    <x v="721"/>
  </r>
  <r>
    <s v="SALE725"/>
    <d v="2024-07-01T00:00:00"/>
    <s v="CUST1388"/>
    <s v="PROD71"/>
    <x v="8"/>
    <n v="1"/>
    <n v="506.55"/>
    <n v="0.28000000000000003"/>
    <s v="Credit Card"/>
    <x v="722"/>
  </r>
  <r>
    <s v="SALE726"/>
    <d v="2024-12-14T00:00:00"/>
    <s v="CUST1130"/>
    <s v="PROD41"/>
    <x v="19"/>
    <n v="3"/>
    <n v="28.69"/>
    <n v="0.02"/>
    <s v="Credit Card"/>
    <x v="723"/>
  </r>
  <r>
    <s v="SALE727"/>
    <d v="2023-11-23T00:00:00"/>
    <s v="CUST1387"/>
    <s v="PROD76"/>
    <x v="5"/>
    <n v="1"/>
    <n v="106.07"/>
    <n v="0.23"/>
    <s v="COD"/>
    <x v="724"/>
  </r>
  <r>
    <s v="SALE728"/>
    <d v="2023-10-26T00:00:00"/>
    <s v="CUST1260"/>
    <s v="PROD91"/>
    <x v="6"/>
    <n v="4"/>
    <n v="289.77"/>
    <n v="0.06"/>
    <s v="PayPal"/>
    <x v="725"/>
  </r>
  <r>
    <s v="SALE729"/>
    <d v="2023-12-03T00:00:00"/>
    <s v="CUST1156"/>
    <s v="PROD83"/>
    <x v="14"/>
    <n v="2"/>
    <n v="354.26"/>
    <n v="0.01"/>
    <s v="COD"/>
    <x v="726"/>
  </r>
  <r>
    <s v="SALE730"/>
    <d v="2024-09-19T00:00:00"/>
    <s v="CUST1385"/>
    <s v="PROD68"/>
    <x v="7"/>
    <n v="1"/>
    <n v="522.72"/>
    <n v="0.25"/>
    <s v="PayPal"/>
    <x v="727"/>
  </r>
  <r>
    <s v="SALE731"/>
    <d v="2024-10-04T00:00:00"/>
    <s v="CUST1057"/>
    <s v="PROD5"/>
    <x v="11"/>
    <n v="3"/>
    <n v="966.02"/>
    <n v="0.03"/>
    <s v="COD"/>
    <x v="728"/>
  </r>
  <r>
    <s v="SALE732"/>
    <d v="2023-10-18T00:00:00"/>
    <s v="CUST1224"/>
    <s v="PROD50"/>
    <x v="1"/>
    <n v="1"/>
    <n v="498.61"/>
    <n v="0.04"/>
    <s v="PayPal"/>
    <x v="729"/>
  </r>
  <r>
    <s v="SALE733"/>
    <d v="2025-05-06T00:00:00"/>
    <s v="CUST1330"/>
    <s v="PROD42"/>
    <x v="16"/>
    <n v="4"/>
    <n v="758.27"/>
    <n v="0.05"/>
    <s v="PayPal"/>
    <x v="730"/>
  </r>
  <r>
    <s v="SALE734"/>
    <d v="2024-03-20T00:00:00"/>
    <s v="CUST1198"/>
    <s v="PROD3"/>
    <x v="17"/>
    <n v="2"/>
    <n v="371.03"/>
    <n v="0.23"/>
    <s v="PayPal"/>
    <x v="731"/>
  </r>
  <r>
    <s v="SALE735"/>
    <d v="2024-06-10T00:00:00"/>
    <s v="CUST1355"/>
    <s v="PROD91"/>
    <x v="1"/>
    <n v="1"/>
    <n v="230.32"/>
    <n v="0.05"/>
    <s v="COD"/>
    <x v="732"/>
  </r>
  <r>
    <s v="SALE736"/>
    <d v="2024-08-22T00:00:00"/>
    <s v="CUST1342"/>
    <s v="PROD61"/>
    <x v="16"/>
    <n v="2"/>
    <n v="985.43"/>
    <n v="0.28000000000000003"/>
    <s v="COD"/>
    <x v="733"/>
  </r>
  <r>
    <s v="SALE737"/>
    <d v="2025-04-09T00:00:00"/>
    <s v="CUST1422"/>
    <s v="PROD9"/>
    <x v="5"/>
    <n v="2"/>
    <n v="492.5"/>
    <n v="0.3"/>
    <s v="PayPal"/>
    <x v="734"/>
  </r>
  <r>
    <s v="SALE738"/>
    <d v="2024-12-31T00:00:00"/>
    <s v="CUST1364"/>
    <s v="PROD46"/>
    <x v="19"/>
    <n v="2"/>
    <n v="213.69"/>
    <n v="0.28000000000000003"/>
    <s v="PayPal"/>
    <x v="735"/>
  </r>
  <r>
    <s v="SALE739"/>
    <d v="2025-02-28T00:00:00"/>
    <s v="CUST1065"/>
    <s v="PROD20"/>
    <x v="2"/>
    <n v="4"/>
    <n v="618.83000000000004"/>
    <n v="0.08"/>
    <s v="PayPal"/>
    <x v="736"/>
  </r>
  <r>
    <s v="SALE740"/>
    <d v="2024-01-22T00:00:00"/>
    <s v="CUST1093"/>
    <s v="PROD59"/>
    <x v="19"/>
    <n v="2"/>
    <n v="81.16"/>
    <n v="0.16"/>
    <s v="PayPal"/>
    <x v="737"/>
  </r>
  <r>
    <s v="SALE741"/>
    <d v="2024-03-21T00:00:00"/>
    <s v="CUST1002"/>
    <s v="PROD86"/>
    <x v="11"/>
    <n v="1"/>
    <n v="431.69"/>
    <n v="0.09"/>
    <s v="Credit Card"/>
    <x v="738"/>
  </r>
  <r>
    <s v="SALE742"/>
    <d v="2024-12-22T00:00:00"/>
    <s v="CUST1405"/>
    <s v="PROD18"/>
    <x v="3"/>
    <n v="3"/>
    <n v="438.65"/>
    <n v="0.28999999999999998"/>
    <s v="PayPal"/>
    <x v="739"/>
  </r>
  <r>
    <s v="SALE743"/>
    <d v="2024-04-02T00:00:00"/>
    <s v="CUST1172"/>
    <s v="PROD79"/>
    <x v="0"/>
    <n v="3"/>
    <n v="339.41"/>
    <n v="0.26"/>
    <s v="Credit Card"/>
    <x v="740"/>
  </r>
  <r>
    <s v="SALE744"/>
    <d v="2025-01-30T00:00:00"/>
    <s v="CUST1470"/>
    <s v="PROD79"/>
    <x v="11"/>
    <n v="4"/>
    <n v="848.47"/>
    <n v="0.21"/>
    <s v="COD"/>
    <x v="741"/>
  </r>
  <r>
    <s v="SALE745"/>
    <d v="2025-03-31T00:00:00"/>
    <s v="CUST1192"/>
    <s v="PROD67"/>
    <x v="2"/>
    <n v="1"/>
    <n v="664.87"/>
    <n v="0.08"/>
    <s v="PayPal"/>
    <x v="742"/>
  </r>
  <r>
    <s v="SALE746"/>
    <d v="2025-01-30T00:00:00"/>
    <s v="CUST1099"/>
    <s v="PROD24"/>
    <x v="4"/>
    <n v="1"/>
    <n v="412.11"/>
    <n v="0.23"/>
    <s v="PayPal"/>
    <x v="743"/>
  </r>
  <r>
    <s v="SALE747"/>
    <d v="2025-09-16T00:00:00"/>
    <s v="CUST1122"/>
    <s v="PROD94"/>
    <x v="8"/>
    <n v="1"/>
    <n v="126.09"/>
    <n v="0.05"/>
    <s v="COD"/>
    <x v="744"/>
  </r>
  <r>
    <s v="SALE748"/>
    <d v="2025-09-17T00:00:00"/>
    <s v="CUST1198"/>
    <s v="PROD67"/>
    <x v="15"/>
    <n v="4"/>
    <n v="602.39"/>
    <n v="0.19"/>
    <s v="COD"/>
    <x v="745"/>
  </r>
  <r>
    <s v="SALE749"/>
    <d v="2025-10-11T00:00:00"/>
    <s v="CUST1325"/>
    <s v="PROD82"/>
    <x v="0"/>
    <n v="3"/>
    <n v="447.69"/>
    <n v="0.02"/>
    <s v="COD"/>
    <x v="746"/>
  </r>
  <r>
    <s v="SALE750"/>
    <d v="2025-05-01T00:00:00"/>
    <s v="CUST1248"/>
    <s v="PROD34"/>
    <x v="0"/>
    <n v="3"/>
    <n v="35.159999999999997"/>
    <n v="0.04"/>
    <s v="COD"/>
    <x v="747"/>
  </r>
  <r>
    <s v="SALE751"/>
    <d v="2025-03-24T00:00:00"/>
    <s v="CUST1330"/>
    <s v="PROD72"/>
    <x v="19"/>
    <n v="2"/>
    <n v="838.59"/>
    <n v="0.18"/>
    <s v="COD"/>
    <x v="748"/>
  </r>
  <r>
    <s v="SALE752"/>
    <d v="2024-11-02T00:00:00"/>
    <s v="CUST1089"/>
    <s v="PROD59"/>
    <x v="16"/>
    <n v="4"/>
    <n v="867.94"/>
    <n v="0.26"/>
    <s v="PayPal"/>
    <x v="749"/>
  </r>
  <r>
    <s v="SALE753"/>
    <d v="2024-10-26T00:00:00"/>
    <s v="CUST1196"/>
    <s v="PROD39"/>
    <x v="1"/>
    <n v="1"/>
    <n v="623.88"/>
    <n v="0.25"/>
    <s v="Credit Card"/>
    <x v="750"/>
  </r>
  <r>
    <s v="SALE754"/>
    <d v="2024-09-11T00:00:00"/>
    <s v="CUST1177"/>
    <s v="PROD42"/>
    <x v="7"/>
    <n v="2"/>
    <n v="567.95000000000005"/>
    <n v="0.12"/>
    <s v="PayPal"/>
    <x v="751"/>
  </r>
  <r>
    <s v="SALE755"/>
    <d v="2024-07-10T00:00:00"/>
    <s v="CUST1323"/>
    <s v="PROD31"/>
    <x v="14"/>
    <n v="2"/>
    <n v="671.69"/>
    <n v="0.19"/>
    <s v="Credit Card"/>
    <x v="752"/>
  </r>
  <r>
    <s v="SALE756"/>
    <d v="2025-05-09T00:00:00"/>
    <s v="CUST1206"/>
    <s v="PROD6"/>
    <x v="4"/>
    <n v="2"/>
    <n v="257.95999999999998"/>
    <n v="0.21"/>
    <s v="PayPal"/>
    <x v="753"/>
  </r>
  <r>
    <s v="SALE757"/>
    <d v="2024-07-02T00:00:00"/>
    <s v="CUST1204"/>
    <s v="PROD98"/>
    <x v="12"/>
    <n v="4"/>
    <n v="281.48"/>
    <n v="0.27"/>
    <s v="PayPal"/>
    <x v="754"/>
  </r>
  <r>
    <s v="SALE758"/>
    <d v="2024-06-27T00:00:00"/>
    <s v="CUST1316"/>
    <s v="PROD20"/>
    <x v="19"/>
    <n v="1"/>
    <n v="202.13"/>
    <n v="0.13"/>
    <s v="COD"/>
    <x v="755"/>
  </r>
  <r>
    <s v="SALE759"/>
    <d v="2023-11-13T00:00:00"/>
    <s v="CUST1271"/>
    <s v="PROD74"/>
    <x v="3"/>
    <n v="1"/>
    <n v="370.66"/>
    <n v="0.01"/>
    <s v="PayPal"/>
    <x v="756"/>
  </r>
  <r>
    <s v="SALE760"/>
    <d v="2024-02-19T00:00:00"/>
    <s v="CUST1005"/>
    <s v="PROD61"/>
    <x v="18"/>
    <n v="4"/>
    <n v="731.53"/>
    <n v="0.12"/>
    <s v="Credit Card"/>
    <x v="757"/>
  </r>
  <r>
    <s v="SALE761"/>
    <d v="2024-03-20T00:00:00"/>
    <s v="CUST1165"/>
    <s v="PROD78"/>
    <x v="8"/>
    <n v="3"/>
    <n v="468.25"/>
    <n v="7.0000000000000007E-2"/>
    <s v="PayPal"/>
    <x v="758"/>
  </r>
  <r>
    <s v="SALE762"/>
    <d v="2024-03-09T00:00:00"/>
    <s v="CUST1001"/>
    <s v="PROD67"/>
    <x v="6"/>
    <n v="1"/>
    <n v="928.72"/>
    <n v="0.1"/>
    <s v="COD"/>
    <x v="759"/>
  </r>
  <r>
    <s v="SALE763"/>
    <d v="2024-07-26T00:00:00"/>
    <s v="CUST1101"/>
    <s v="PROD4"/>
    <x v="14"/>
    <n v="3"/>
    <n v="217.22"/>
    <n v="0.06"/>
    <s v="PayPal"/>
    <x v="760"/>
  </r>
  <r>
    <s v="SALE764"/>
    <d v="2025-03-29T00:00:00"/>
    <s v="CUST1405"/>
    <s v="PROD24"/>
    <x v="0"/>
    <n v="1"/>
    <n v="387.99"/>
    <n v="0.3"/>
    <s v="Credit Card"/>
    <x v="761"/>
  </r>
  <r>
    <s v="SALE765"/>
    <d v="2025-03-02T00:00:00"/>
    <s v="CUST1476"/>
    <s v="PROD18"/>
    <x v="16"/>
    <n v="4"/>
    <n v="186.24"/>
    <n v="0.23"/>
    <s v="Credit Card"/>
    <x v="762"/>
  </r>
  <r>
    <s v="SALE766"/>
    <d v="2024-06-11T00:00:00"/>
    <s v="CUST1296"/>
    <s v="PROD40"/>
    <x v="2"/>
    <n v="4"/>
    <n v="609.05999999999995"/>
    <n v="0.22"/>
    <s v="COD"/>
    <x v="763"/>
  </r>
  <r>
    <s v="SALE767"/>
    <d v="2024-05-22T00:00:00"/>
    <s v="CUST1437"/>
    <s v="PROD33"/>
    <x v="19"/>
    <n v="1"/>
    <n v="827.91"/>
    <n v="0.21"/>
    <s v="PayPal"/>
    <x v="764"/>
  </r>
  <r>
    <s v="SALE768"/>
    <d v="2024-07-13T00:00:00"/>
    <s v="CUST1176"/>
    <s v="PROD83"/>
    <x v="6"/>
    <n v="1"/>
    <n v="303.79000000000002"/>
    <n v="0.24"/>
    <s v="PayPal"/>
    <x v="765"/>
  </r>
  <r>
    <s v="SALE769"/>
    <d v="2025-09-02T00:00:00"/>
    <s v="CUST1104"/>
    <s v="PROD37"/>
    <x v="16"/>
    <n v="2"/>
    <n v="365.91"/>
    <n v="0.14000000000000001"/>
    <s v="COD"/>
    <x v="766"/>
  </r>
  <r>
    <s v="SALE770"/>
    <d v="2025-04-15T00:00:00"/>
    <s v="CUST1069"/>
    <s v="PROD25"/>
    <x v="1"/>
    <n v="3"/>
    <n v="852.72"/>
    <n v="0.16"/>
    <s v="Credit Card"/>
    <x v="767"/>
  </r>
  <r>
    <s v="SALE771"/>
    <d v="2025-04-05T00:00:00"/>
    <s v="CUST1247"/>
    <s v="PROD10"/>
    <x v="5"/>
    <n v="1"/>
    <n v="768.25"/>
    <n v="0.18"/>
    <s v="Credit Card"/>
    <x v="768"/>
  </r>
  <r>
    <s v="SALE772"/>
    <d v="2023-11-24T00:00:00"/>
    <s v="CUST1350"/>
    <s v="PROD92"/>
    <x v="12"/>
    <n v="2"/>
    <n v="318.62"/>
    <n v="0.02"/>
    <s v="COD"/>
    <x v="769"/>
  </r>
  <r>
    <s v="SALE773"/>
    <d v="2025-01-26T00:00:00"/>
    <s v="CUST1049"/>
    <s v="PROD76"/>
    <x v="17"/>
    <n v="4"/>
    <n v="402.11"/>
    <n v="0.14000000000000001"/>
    <s v="PayPal"/>
    <x v="770"/>
  </r>
  <r>
    <s v="SALE774"/>
    <d v="2025-05-27T00:00:00"/>
    <s v="CUST1408"/>
    <s v="PROD84"/>
    <x v="1"/>
    <n v="3"/>
    <n v="846.31"/>
    <n v="0.18"/>
    <s v="COD"/>
    <x v="771"/>
  </r>
  <r>
    <s v="SALE775"/>
    <d v="2025-06-13T00:00:00"/>
    <s v="CUST1168"/>
    <s v="PROD94"/>
    <x v="7"/>
    <n v="1"/>
    <n v="269.94"/>
    <n v="7.0000000000000007E-2"/>
    <s v="COD"/>
    <x v="772"/>
  </r>
  <r>
    <s v="SALE776"/>
    <d v="2024-06-29T00:00:00"/>
    <s v="CUST1241"/>
    <s v="PROD20"/>
    <x v="5"/>
    <n v="3"/>
    <n v="909.25"/>
    <n v="0.28999999999999998"/>
    <s v="COD"/>
    <x v="773"/>
  </r>
  <r>
    <s v="SALE777"/>
    <d v="2024-02-09T00:00:00"/>
    <s v="CUST1363"/>
    <s v="PROD91"/>
    <x v="18"/>
    <n v="2"/>
    <n v="229.81"/>
    <n v="0.21"/>
    <s v="COD"/>
    <x v="774"/>
  </r>
  <r>
    <s v="SALE778"/>
    <d v="2024-06-08T00:00:00"/>
    <s v="CUST1037"/>
    <s v="PROD78"/>
    <x v="10"/>
    <n v="3"/>
    <n v="442.36"/>
    <n v="0.06"/>
    <s v="PayPal"/>
    <x v="775"/>
  </r>
  <r>
    <s v="SALE779"/>
    <d v="2024-04-04T00:00:00"/>
    <s v="CUST1239"/>
    <s v="PROD86"/>
    <x v="0"/>
    <n v="3"/>
    <n v="413.74"/>
    <n v="0.01"/>
    <s v="Credit Card"/>
    <x v="776"/>
  </r>
  <r>
    <s v="SALE780"/>
    <d v="2024-07-04T00:00:00"/>
    <s v="CUST1496"/>
    <s v="PROD89"/>
    <x v="7"/>
    <n v="4"/>
    <n v="79.75"/>
    <n v="0.18"/>
    <s v="PayPal"/>
    <x v="777"/>
  </r>
  <r>
    <s v="SALE781"/>
    <d v="2024-05-21T00:00:00"/>
    <s v="CUST1495"/>
    <s v="PROD40"/>
    <x v="18"/>
    <n v="4"/>
    <n v="95.06"/>
    <n v="0.03"/>
    <s v="Credit Card"/>
    <x v="778"/>
  </r>
  <r>
    <s v="SALE782"/>
    <d v="2025-04-12T00:00:00"/>
    <s v="CUST1416"/>
    <s v="PROD98"/>
    <x v="4"/>
    <n v="4"/>
    <n v="107.08"/>
    <n v="0.27"/>
    <s v="COD"/>
    <x v="779"/>
  </r>
  <r>
    <s v="SALE783"/>
    <d v="2025-05-17T00:00:00"/>
    <s v="CUST1474"/>
    <s v="PROD99"/>
    <x v="14"/>
    <n v="1"/>
    <n v="873.18"/>
    <n v="0.03"/>
    <s v="COD"/>
    <x v="780"/>
  </r>
  <r>
    <s v="SALE784"/>
    <d v="2025-04-17T00:00:00"/>
    <s v="CUST1377"/>
    <s v="PROD70"/>
    <x v="14"/>
    <n v="1"/>
    <n v="914.75"/>
    <n v="0.1"/>
    <s v="COD"/>
    <x v="781"/>
  </r>
  <r>
    <s v="SALE785"/>
    <d v="2023-12-19T00:00:00"/>
    <s v="CUST1049"/>
    <s v="PROD73"/>
    <x v="13"/>
    <n v="4"/>
    <n v="457.33"/>
    <n v="0.1"/>
    <s v="Credit Card"/>
    <x v="782"/>
  </r>
  <r>
    <s v="SALE786"/>
    <d v="2024-11-06T00:00:00"/>
    <s v="CUST1292"/>
    <s v="PROD99"/>
    <x v="0"/>
    <n v="3"/>
    <n v="761.88"/>
    <n v="0.23"/>
    <s v="PayPal"/>
    <x v="783"/>
  </r>
  <r>
    <s v="SALE787"/>
    <d v="2025-05-16T00:00:00"/>
    <s v="CUST1177"/>
    <s v="PROD37"/>
    <x v="12"/>
    <n v="4"/>
    <n v="122.87"/>
    <n v="0.13"/>
    <s v="Credit Card"/>
    <x v="784"/>
  </r>
  <r>
    <s v="SALE788"/>
    <d v="2025-05-01T00:00:00"/>
    <s v="CUST1475"/>
    <s v="PROD73"/>
    <x v="5"/>
    <n v="4"/>
    <n v="753"/>
    <n v="0.28000000000000003"/>
    <s v="COD"/>
    <x v="785"/>
  </r>
  <r>
    <s v="SALE789"/>
    <d v="2024-02-03T00:00:00"/>
    <s v="CUST1370"/>
    <s v="PROD5"/>
    <x v="3"/>
    <n v="2"/>
    <n v="788.05"/>
    <n v="0.21"/>
    <s v="Credit Card"/>
    <x v="786"/>
  </r>
  <r>
    <s v="SALE790"/>
    <d v="2025-08-06T00:00:00"/>
    <s v="CUST1462"/>
    <s v="PROD82"/>
    <x v="15"/>
    <n v="2"/>
    <n v="807.1"/>
    <n v="0.28999999999999998"/>
    <s v="Credit Card"/>
    <x v="787"/>
  </r>
  <r>
    <s v="SALE791"/>
    <d v="2024-01-29T00:00:00"/>
    <s v="CUST1134"/>
    <s v="PROD8"/>
    <x v="8"/>
    <n v="2"/>
    <n v="443.09"/>
    <n v="0.02"/>
    <s v="PayPal"/>
    <x v="788"/>
  </r>
  <r>
    <s v="SALE792"/>
    <d v="2025-08-01T00:00:00"/>
    <s v="CUST1468"/>
    <s v="PROD19"/>
    <x v="10"/>
    <n v="1"/>
    <n v="512.16"/>
    <n v="0.02"/>
    <s v="COD"/>
    <x v="789"/>
  </r>
  <r>
    <s v="SALE793"/>
    <d v="2024-10-12T00:00:00"/>
    <s v="CUST1208"/>
    <s v="PROD41"/>
    <x v="14"/>
    <n v="2"/>
    <n v="602.54999999999995"/>
    <n v="0.23"/>
    <s v="COD"/>
    <x v="790"/>
  </r>
  <r>
    <s v="SALE794"/>
    <d v="2025-03-29T00:00:00"/>
    <s v="CUST1164"/>
    <s v="PROD42"/>
    <x v="6"/>
    <n v="3"/>
    <n v="846.19"/>
    <n v="0.09"/>
    <s v="COD"/>
    <x v="791"/>
  </r>
  <r>
    <s v="SALE795"/>
    <d v="2025-04-25T00:00:00"/>
    <s v="CUST1326"/>
    <s v="PROD69"/>
    <x v="2"/>
    <n v="1"/>
    <n v="506.73"/>
    <n v="0.28999999999999998"/>
    <s v="Credit Card"/>
    <x v="792"/>
  </r>
  <r>
    <s v="SALE796"/>
    <d v="2024-01-08T00:00:00"/>
    <s v="CUST1052"/>
    <s v="PROD51"/>
    <x v="9"/>
    <n v="1"/>
    <n v="408.66"/>
    <n v="0.13"/>
    <s v="COD"/>
    <x v="793"/>
  </r>
  <r>
    <s v="SALE797"/>
    <d v="2024-06-04T00:00:00"/>
    <s v="CUST1110"/>
    <s v="PROD8"/>
    <x v="1"/>
    <n v="3"/>
    <n v="170.48"/>
    <n v="0.06"/>
    <s v="COD"/>
    <x v="794"/>
  </r>
  <r>
    <s v="SALE798"/>
    <d v="2025-03-01T00:00:00"/>
    <s v="CUST1097"/>
    <s v="PROD18"/>
    <x v="11"/>
    <n v="1"/>
    <n v="423.48"/>
    <n v="0.18"/>
    <s v="PayPal"/>
    <x v="795"/>
  </r>
  <r>
    <s v="SALE799"/>
    <d v="2023-10-14T00:00:00"/>
    <s v="CUST1235"/>
    <s v="PROD92"/>
    <x v="19"/>
    <n v="4"/>
    <n v="23.57"/>
    <n v="0.1"/>
    <s v="Credit Card"/>
    <x v="796"/>
  </r>
  <r>
    <s v="SALE800"/>
    <d v="2025-06-29T00:00:00"/>
    <s v="CUST1381"/>
    <s v="PROD42"/>
    <x v="14"/>
    <n v="2"/>
    <n v="953.26"/>
    <n v="0.1"/>
    <s v="COD"/>
    <x v="797"/>
  </r>
  <r>
    <s v="SALE801"/>
    <d v="2023-12-17T00:00:00"/>
    <s v="CUST1347"/>
    <s v="PROD73"/>
    <x v="4"/>
    <n v="3"/>
    <n v="405.13"/>
    <n v="0.14000000000000001"/>
    <s v="COD"/>
    <x v="798"/>
  </r>
  <r>
    <s v="SALE802"/>
    <d v="2023-11-18T00:00:00"/>
    <s v="CUST1339"/>
    <s v="PROD2"/>
    <x v="5"/>
    <n v="2"/>
    <n v="333.83"/>
    <n v="0.26"/>
    <s v="PayPal"/>
    <x v="799"/>
  </r>
  <r>
    <s v="SALE803"/>
    <d v="2025-03-25T00:00:00"/>
    <s v="CUST1333"/>
    <s v="PROD91"/>
    <x v="0"/>
    <n v="2"/>
    <n v="727.18"/>
    <n v="0.22"/>
    <s v="PayPal"/>
    <x v="800"/>
  </r>
  <r>
    <s v="SALE804"/>
    <d v="2025-05-01T00:00:00"/>
    <s v="CUST1306"/>
    <s v="PROD5"/>
    <x v="15"/>
    <n v="2"/>
    <n v="516.02"/>
    <n v="0.19"/>
    <s v="COD"/>
    <x v="801"/>
  </r>
  <r>
    <s v="SALE805"/>
    <d v="2024-03-10T00:00:00"/>
    <s v="CUST1294"/>
    <s v="PROD42"/>
    <x v="19"/>
    <n v="2"/>
    <n v="705.61"/>
    <n v="0.28000000000000003"/>
    <s v="Credit Card"/>
    <x v="802"/>
  </r>
  <r>
    <s v="SALE806"/>
    <d v="2024-05-02T00:00:00"/>
    <s v="CUST1275"/>
    <s v="PROD84"/>
    <x v="2"/>
    <n v="3"/>
    <n v="654.47"/>
    <n v="0.18"/>
    <s v="COD"/>
    <x v="803"/>
  </r>
  <r>
    <s v="SALE807"/>
    <d v="2025-03-18T00:00:00"/>
    <s v="CUST1171"/>
    <s v="PROD88"/>
    <x v="10"/>
    <n v="2"/>
    <n v="315.27"/>
    <n v="0.23"/>
    <s v="Credit Card"/>
    <x v="804"/>
  </r>
  <r>
    <s v="SALE808"/>
    <d v="2024-11-27T00:00:00"/>
    <s v="CUST1222"/>
    <s v="PROD28"/>
    <x v="17"/>
    <n v="1"/>
    <n v="974.47"/>
    <n v="0.05"/>
    <s v="Credit Card"/>
    <x v="805"/>
  </r>
  <r>
    <s v="SALE809"/>
    <d v="2024-02-18T00:00:00"/>
    <s v="CUST1067"/>
    <s v="PROD2"/>
    <x v="5"/>
    <n v="2"/>
    <n v="803.3"/>
    <n v="0.17"/>
    <s v="Credit Card"/>
    <x v="806"/>
  </r>
  <r>
    <s v="SALE810"/>
    <d v="2024-06-04T00:00:00"/>
    <s v="CUST1013"/>
    <s v="PROD2"/>
    <x v="15"/>
    <n v="4"/>
    <n v="863.87"/>
    <n v="0.21"/>
    <s v="COD"/>
    <x v="807"/>
  </r>
  <r>
    <s v="SALE811"/>
    <d v="2024-08-09T00:00:00"/>
    <s v="CUST1469"/>
    <s v="PROD80"/>
    <x v="14"/>
    <n v="1"/>
    <n v="450.11"/>
    <n v="0.17"/>
    <s v="Credit Card"/>
    <x v="808"/>
  </r>
  <r>
    <s v="SALE812"/>
    <d v="2024-07-13T00:00:00"/>
    <s v="CUST1230"/>
    <s v="PROD68"/>
    <x v="13"/>
    <n v="1"/>
    <n v="289.82"/>
    <n v="0.18"/>
    <s v="COD"/>
    <x v="809"/>
  </r>
  <r>
    <s v="SALE813"/>
    <d v="2025-08-21T00:00:00"/>
    <s v="CUST1334"/>
    <s v="PROD54"/>
    <x v="15"/>
    <n v="4"/>
    <n v="250.64"/>
    <n v="0.1"/>
    <s v="PayPal"/>
    <x v="810"/>
  </r>
  <r>
    <s v="SALE814"/>
    <d v="2025-08-07T00:00:00"/>
    <s v="CUST1287"/>
    <s v="PROD69"/>
    <x v="12"/>
    <n v="4"/>
    <n v="373.49"/>
    <n v="0.16"/>
    <s v="COD"/>
    <x v="811"/>
  </r>
  <r>
    <s v="SALE815"/>
    <d v="2024-04-16T00:00:00"/>
    <s v="CUST1066"/>
    <s v="PROD3"/>
    <x v="11"/>
    <n v="4"/>
    <n v="348.91"/>
    <n v="0.18"/>
    <s v="PayPal"/>
    <x v="812"/>
  </r>
  <r>
    <s v="SALE816"/>
    <d v="2024-04-08T00:00:00"/>
    <s v="CUST1110"/>
    <s v="PROD94"/>
    <x v="1"/>
    <n v="4"/>
    <n v="212.96"/>
    <n v="0.17"/>
    <s v="Credit Card"/>
    <x v="813"/>
  </r>
  <r>
    <s v="SALE817"/>
    <d v="2024-04-24T00:00:00"/>
    <s v="CUST1190"/>
    <s v="PROD27"/>
    <x v="12"/>
    <n v="3"/>
    <n v="871.34"/>
    <n v="0.11"/>
    <s v="COD"/>
    <x v="814"/>
  </r>
  <r>
    <s v="SALE818"/>
    <d v="2025-07-06T00:00:00"/>
    <s v="CUST1100"/>
    <s v="PROD94"/>
    <x v="6"/>
    <n v="2"/>
    <n v="698.94"/>
    <n v="0.06"/>
    <s v="Credit Card"/>
    <x v="815"/>
  </r>
  <r>
    <s v="SALE819"/>
    <d v="2025-02-09T00:00:00"/>
    <s v="CUST1316"/>
    <s v="PROD74"/>
    <x v="6"/>
    <n v="1"/>
    <n v="719.94"/>
    <n v="0.23"/>
    <s v="COD"/>
    <x v="816"/>
  </r>
  <r>
    <s v="SALE820"/>
    <d v="2024-11-11T00:00:00"/>
    <s v="CUST1006"/>
    <s v="PROD28"/>
    <x v="5"/>
    <n v="2"/>
    <n v="278.16000000000003"/>
    <n v="0.22"/>
    <s v="PayPal"/>
    <x v="817"/>
  </r>
  <r>
    <s v="SALE821"/>
    <d v="2024-01-16T00:00:00"/>
    <s v="CUST1053"/>
    <s v="PROD49"/>
    <x v="3"/>
    <n v="1"/>
    <n v="678.9"/>
    <n v="0.17"/>
    <s v="Credit Card"/>
    <x v="818"/>
  </r>
  <r>
    <s v="SALE822"/>
    <d v="2024-08-16T00:00:00"/>
    <s v="CUST1015"/>
    <s v="PROD25"/>
    <x v="10"/>
    <n v="4"/>
    <n v="94.13"/>
    <n v="0.15"/>
    <s v="Credit Card"/>
    <x v="819"/>
  </r>
  <r>
    <s v="SALE823"/>
    <d v="2025-10-03T00:00:00"/>
    <s v="CUST1441"/>
    <s v="PROD44"/>
    <x v="8"/>
    <n v="4"/>
    <n v="415.02"/>
    <n v="0.01"/>
    <s v="PayPal"/>
    <x v="820"/>
  </r>
  <r>
    <s v="SALE824"/>
    <d v="2025-07-03T00:00:00"/>
    <s v="CUST1051"/>
    <s v="PROD11"/>
    <x v="5"/>
    <n v="4"/>
    <n v="780.07"/>
    <n v="0.03"/>
    <s v="Credit Card"/>
    <x v="821"/>
  </r>
  <r>
    <s v="SALE825"/>
    <d v="2025-08-08T00:00:00"/>
    <s v="CUST1428"/>
    <s v="PROD37"/>
    <x v="10"/>
    <n v="4"/>
    <n v="184.57"/>
    <n v="0.28000000000000003"/>
    <s v="Credit Card"/>
    <x v="822"/>
  </r>
  <r>
    <s v="SALE826"/>
    <d v="2024-08-28T00:00:00"/>
    <s v="CUST1287"/>
    <s v="PROD65"/>
    <x v="5"/>
    <n v="4"/>
    <n v="277.58"/>
    <n v="0.22"/>
    <s v="PayPal"/>
    <x v="823"/>
  </r>
  <r>
    <s v="SALE827"/>
    <d v="2025-03-18T00:00:00"/>
    <s v="CUST1104"/>
    <s v="PROD31"/>
    <x v="0"/>
    <n v="1"/>
    <n v="36.799999999999997"/>
    <n v="0.18"/>
    <s v="Credit Card"/>
    <x v="824"/>
  </r>
  <r>
    <s v="SALE828"/>
    <d v="2025-06-01T00:00:00"/>
    <s v="CUST1356"/>
    <s v="PROD88"/>
    <x v="16"/>
    <n v="1"/>
    <n v="539.37"/>
    <n v="0.14000000000000001"/>
    <s v="Credit Card"/>
    <x v="825"/>
  </r>
  <r>
    <s v="SALE829"/>
    <d v="2025-04-13T00:00:00"/>
    <s v="CUST1089"/>
    <s v="PROD20"/>
    <x v="14"/>
    <n v="1"/>
    <n v="27.83"/>
    <n v="0.3"/>
    <s v="PayPal"/>
    <x v="826"/>
  </r>
  <r>
    <s v="SALE830"/>
    <d v="2024-06-13T00:00:00"/>
    <s v="CUST1283"/>
    <s v="PROD70"/>
    <x v="5"/>
    <n v="3"/>
    <n v="698.72"/>
    <n v="0.28000000000000003"/>
    <s v="COD"/>
    <x v="827"/>
  </r>
  <r>
    <s v="SALE831"/>
    <d v="2025-02-10T00:00:00"/>
    <s v="CUST1012"/>
    <s v="PROD76"/>
    <x v="13"/>
    <n v="4"/>
    <n v="528.23"/>
    <n v="0.15"/>
    <s v="COD"/>
    <x v="828"/>
  </r>
  <r>
    <s v="SALE832"/>
    <d v="2024-09-13T00:00:00"/>
    <s v="CUST1492"/>
    <s v="PROD46"/>
    <x v="9"/>
    <n v="2"/>
    <n v="780.9"/>
    <n v="0.24"/>
    <s v="PayPal"/>
    <x v="829"/>
  </r>
  <r>
    <s v="SALE833"/>
    <d v="2023-11-06T00:00:00"/>
    <s v="CUST1180"/>
    <s v="PROD21"/>
    <x v="7"/>
    <n v="1"/>
    <n v="977.97"/>
    <n v="0.06"/>
    <s v="COD"/>
    <x v="830"/>
  </r>
  <r>
    <s v="SALE834"/>
    <d v="2024-01-19T00:00:00"/>
    <s v="CUST1369"/>
    <s v="PROD83"/>
    <x v="18"/>
    <n v="4"/>
    <n v="354.65"/>
    <n v="0.19"/>
    <s v="Credit Card"/>
    <x v="831"/>
  </r>
  <r>
    <s v="SALE835"/>
    <d v="2024-03-25T00:00:00"/>
    <s v="CUST1283"/>
    <s v="PROD68"/>
    <x v="12"/>
    <n v="1"/>
    <n v="671.62"/>
    <n v="0.09"/>
    <s v="COD"/>
    <x v="832"/>
  </r>
  <r>
    <s v="SALE836"/>
    <d v="2025-09-14T00:00:00"/>
    <s v="CUST1317"/>
    <s v="PROD82"/>
    <x v="0"/>
    <n v="1"/>
    <n v="867.32"/>
    <n v="0.28999999999999998"/>
    <s v="PayPal"/>
    <x v="833"/>
  </r>
  <r>
    <s v="SALE837"/>
    <d v="2024-02-14T00:00:00"/>
    <s v="CUST1081"/>
    <s v="PROD10"/>
    <x v="18"/>
    <n v="3"/>
    <n v="240.27"/>
    <n v="0.15"/>
    <s v="PayPal"/>
    <x v="834"/>
  </r>
  <r>
    <s v="SALE838"/>
    <d v="2025-03-12T00:00:00"/>
    <s v="CUST1075"/>
    <s v="PROD28"/>
    <x v="9"/>
    <n v="2"/>
    <n v="619.12"/>
    <n v="0.28000000000000003"/>
    <s v="COD"/>
    <x v="835"/>
  </r>
  <r>
    <s v="SALE839"/>
    <d v="2025-04-08T00:00:00"/>
    <s v="CUST1213"/>
    <s v="PROD87"/>
    <x v="6"/>
    <n v="3"/>
    <n v="693.42"/>
    <n v="0.08"/>
    <s v="PayPal"/>
    <x v="836"/>
  </r>
  <r>
    <s v="SALE840"/>
    <d v="2025-02-07T00:00:00"/>
    <s v="CUST1108"/>
    <s v="PROD48"/>
    <x v="15"/>
    <n v="4"/>
    <n v="751.63"/>
    <n v="0.28000000000000003"/>
    <s v="COD"/>
    <x v="837"/>
  </r>
  <r>
    <s v="SALE841"/>
    <d v="2024-03-29T00:00:00"/>
    <s v="CUST1110"/>
    <s v="PROD31"/>
    <x v="10"/>
    <n v="3"/>
    <n v="108.14"/>
    <n v="0.19"/>
    <s v="COD"/>
    <x v="838"/>
  </r>
  <r>
    <s v="SALE842"/>
    <d v="2024-06-03T00:00:00"/>
    <s v="CUST1256"/>
    <s v="PROD27"/>
    <x v="5"/>
    <n v="1"/>
    <n v="964.11"/>
    <n v="0.17"/>
    <s v="COD"/>
    <x v="839"/>
  </r>
  <r>
    <s v="SALE843"/>
    <d v="2024-08-21T00:00:00"/>
    <s v="CUST1131"/>
    <s v="PROD19"/>
    <x v="6"/>
    <n v="1"/>
    <n v="346.2"/>
    <n v="0.28999999999999998"/>
    <s v="Credit Card"/>
    <x v="840"/>
  </r>
  <r>
    <s v="SALE844"/>
    <d v="2024-08-23T00:00:00"/>
    <s v="CUST1457"/>
    <s v="PROD43"/>
    <x v="10"/>
    <n v="3"/>
    <n v="791.75"/>
    <n v="0.28999999999999998"/>
    <s v="Credit Card"/>
    <x v="841"/>
  </r>
  <r>
    <s v="SALE845"/>
    <d v="2023-12-05T00:00:00"/>
    <s v="CUST1319"/>
    <s v="PROD39"/>
    <x v="13"/>
    <n v="1"/>
    <n v="529.84"/>
    <n v="0.13"/>
    <s v="PayPal"/>
    <x v="842"/>
  </r>
  <r>
    <s v="SALE846"/>
    <d v="2025-10-06T00:00:00"/>
    <s v="CUST1471"/>
    <s v="PROD54"/>
    <x v="0"/>
    <n v="3"/>
    <n v="582.57000000000005"/>
    <n v="0.11"/>
    <s v="PayPal"/>
    <x v="843"/>
  </r>
  <r>
    <s v="SALE847"/>
    <d v="2023-11-12T00:00:00"/>
    <s v="CUST1211"/>
    <s v="PROD95"/>
    <x v="1"/>
    <n v="1"/>
    <n v="219.81"/>
    <n v="0.22"/>
    <s v="COD"/>
    <x v="844"/>
  </r>
  <r>
    <s v="SALE848"/>
    <d v="2024-05-25T00:00:00"/>
    <s v="CUST1497"/>
    <s v="PROD70"/>
    <x v="14"/>
    <n v="4"/>
    <n v="883.31"/>
    <n v="0.27"/>
    <s v="Credit Card"/>
    <x v="845"/>
  </r>
  <r>
    <s v="SALE849"/>
    <d v="2024-12-01T00:00:00"/>
    <s v="CUST1234"/>
    <s v="PROD17"/>
    <x v="7"/>
    <n v="4"/>
    <n v="329.06"/>
    <n v="0.04"/>
    <s v="COD"/>
    <x v="846"/>
  </r>
  <r>
    <s v="SALE850"/>
    <d v="2025-01-21T00:00:00"/>
    <s v="CUST1105"/>
    <s v="PROD68"/>
    <x v="19"/>
    <n v="1"/>
    <n v="935.78"/>
    <n v="0.03"/>
    <s v="PayPal"/>
    <x v="847"/>
  </r>
  <r>
    <s v="SALE851"/>
    <d v="2024-07-11T00:00:00"/>
    <s v="CUST1320"/>
    <s v="PROD60"/>
    <x v="15"/>
    <n v="4"/>
    <n v="597.79999999999995"/>
    <n v="0.2"/>
    <s v="Credit Card"/>
    <x v="848"/>
  </r>
  <r>
    <s v="SALE852"/>
    <d v="2025-02-12T00:00:00"/>
    <s v="CUST1259"/>
    <s v="PROD13"/>
    <x v="14"/>
    <n v="4"/>
    <n v="266.98"/>
    <n v="0.16"/>
    <s v="Credit Card"/>
    <x v="849"/>
  </r>
  <r>
    <s v="SALE853"/>
    <d v="2025-08-04T00:00:00"/>
    <s v="CUST1407"/>
    <s v="PROD70"/>
    <x v="10"/>
    <n v="3"/>
    <n v="360.18"/>
    <n v="0.03"/>
    <s v="Credit Card"/>
    <x v="850"/>
  </r>
  <r>
    <s v="SALE854"/>
    <d v="2025-07-22T00:00:00"/>
    <s v="CUST1363"/>
    <s v="PROD56"/>
    <x v="6"/>
    <n v="3"/>
    <n v="247.41"/>
    <n v="0.05"/>
    <s v="COD"/>
    <x v="851"/>
  </r>
  <r>
    <s v="SALE855"/>
    <d v="2023-11-05T00:00:00"/>
    <s v="CUST1078"/>
    <s v="PROD45"/>
    <x v="10"/>
    <n v="3"/>
    <n v="674.66"/>
    <n v="0.23"/>
    <s v="Credit Card"/>
    <x v="852"/>
  </r>
  <r>
    <s v="SALE856"/>
    <d v="2025-08-05T00:00:00"/>
    <s v="CUST1415"/>
    <s v="PROD42"/>
    <x v="5"/>
    <n v="1"/>
    <n v="913.98"/>
    <n v="0.27"/>
    <s v="PayPal"/>
    <x v="853"/>
  </r>
  <r>
    <s v="SALE857"/>
    <d v="2025-04-22T00:00:00"/>
    <s v="CUST1314"/>
    <s v="PROD93"/>
    <x v="15"/>
    <n v="4"/>
    <n v="370.5"/>
    <n v="0.13"/>
    <s v="PayPal"/>
    <x v="854"/>
  </r>
  <r>
    <s v="SALE858"/>
    <d v="2024-11-23T00:00:00"/>
    <s v="CUST1358"/>
    <s v="PROD72"/>
    <x v="13"/>
    <n v="1"/>
    <n v="735.1"/>
    <n v="0.1"/>
    <s v="PayPal"/>
    <x v="855"/>
  </r>
  <r>
    <s v="SALE859"/>
    <d v="2024-11-18T00:00:00"/>
    <s v="CUST1135"/>
    <s v="PROD79"/>
    <x v="17"/>
    <n v="3"/>
    <n v="448.55"/>
    <n v="0.05"/>
    <s v="Credit Card"/>
    <x v="856"/>
  </r>
  <r>
    <s v="SALE860"/>
    <d v="2025-02-03T00:00:00"/>
    <s v="CUST1059"/>
    <s v="PROD84"/>
    <x v="13"/>
    <n v="3"/>
    <n v="904.96"/>
    <n v="7.0000000000000007E-2"/>
    <s v="COD"/>
    <x v="857"/>
  </r>
  <r>
    <s v="SALE861"/>
    <d v="2024-11-12T00:00:00"/>
    <s v="CUST1380"/>
    <s v="PROD68"/>
    <x v="13"/>
    <n v="4"/>
    <n v="408.72"/>
    <n v="0.16"/>
    <s v="COD"/>
    <x v="858"/>
  </r>
  <r>
    <s v="SALE862"/>
    <d v="2024-04-30T00:00:00"/>
    <s v="CUST1282"/>
    <s v="PROD71"/>
    <x v="0"/>
    <n v="4"/>
    <n v="770.65"/>
    <n v="0.27"/>
    <s v="Credit Card"/>
    <x v="859"/>
  </r>
  <r>
    <s v="SALE863"/>
    <d v="2025-04-20T00:00:00"/>
    <s v="CUST1203"/>
    <s v="PROD30"/>
    <x v="16"/>
    <n v="1"/>
    <n v="649.22"/>
    <n v="0.03"/>
    <s v="COD"/>
    <x v="860"/>
  </r>
  <r>
    <s v="SALE864"/>
    <d v="2024-05-16T00:00:00"/>
    <s v="CUST1348"/>
    <s v="PROD33"/>
    <x v="15"/>
    <n v="2"/>
    <n v="379.78"/>
    <n v="0.2"/>
    <s v="Credit Card"/>
    <x v="861"/>
  </r>
  <r>
    <s v="SALE865"/>
    <d v="2025-04-23T00:00:00"/>
    <s v="CUST1248"/>
    <s v="PROD43"/>
    <x v="2"/>
    <n v="3"/>
    <n v="924.15"/>
    <n v="0.1"/>
    <s v="PayPal"/>
    <x v="862"/>
  </r>
  <r>
    <s v="SALE866"/>
    <d v="2024-10-06T00:00:00"/>
    <s v="CUST1469"/>
    <s v="PROD45"/>
    <x v="1"/>
    <n v="3"/>
    <n v="144.66999999999999"/>
    <n v="0.28999999999999998"/>
    <s v="COD"/>
    <x v="863"/>
  </r>
  <r>
    <s v="SALE867"/>
    <d v="2025-02-12T00:00:00"/>
    <s v="CUST1121"/>
    <s v="PROD33"/>
    <x v="10"/>
    <n v="2"/>
    <n v="667.17"/>
    <n v="0.1"/>
    <s v="PayPal"/>
    <x v="864"/>
  </r>
  <r>
    <s v="SALE868"/>
    <d v="2024-03-31T00:00:00"/>
    <s v="CUST1402"/>
    <s v="PROD66"/>
    <x v="0"/>
    <n v="1"/>
    <n v="984.6"/>
    <n v="0.22"/>
    <s v="Credit Card"/>
    <x v="865"/>
  </r>
  <r>
    <s v="SALE869"/>
    <d v="2023-11-30T00:00:00"/>
    <s v="CUST1279"/>
    <s v="PROD13"/>
    <x v="2"/>
    <n v="1"/>
    <n v="139.29"/>
    <n v="0"/>
    <s v="Credit Card"/>
    <x v="866"/>
  </r>
  <r>
    <s v="SALE870"/>
    <d v="2025-02-14T00:00:00"/>
    <s v="CUST1033"/>
    <s v="PROD16"/>
    <x v="2"/>
    <n v="3"/>
    <n v="459.57"/>
    <n v="0.1"/>
    <s v="COD"/>
    <x v="867"/>
  </r>
  <r>
    <s v="SALE871"/>
    <d v="2024-01-11T00:00:00"/>
    <s v="CUST1066"/>
    <s v="PROD40"/>
    <x v="10"/>
    <n v="1"/>
    <n v="517.82000000000005"/>
    <n v="0.28999999999999998"/>
    <s v="Credit Card"/>
    <x v="868"/>
  </r>
  <r>
    <s v="SALE872"/>
    <d v="2024-12-27T00:00:00"/>
    <s v="CUST1379"/>
    <s v="PROD76"/>
    <x v="16"/>
    <n v="4"/>
    <n v="282.45"/>
    <n v="0.28999999999999998"/>
    <s v="COD"/>
    <x v="869"/>
  </r>
  <r>
    <s v="SALE873"/>
    <d v="2023-11-20T00:00:00"/>
    <s v="CUST1455"/>
    <s v="PROD87"/>
    <x v="4"/>
    <n v="2"/>
    <n v="386.46"/>
    <n v="0.23"/>
    <s v="COD"/>
    <x v="870"/>
  </r>
  <r>
    <s v="SALE874"/>
    <d v="2025-01-04T00:00:00"/>
    <s v="CUST1195"/>
    <s v="PROD19"/>
    <x v="0"/>
    <n v="1"/>
    <n v="270.45"/>
    <n v="0.15"/>
    <s v="COD"/>
    <x v="871"/>
  </r>
  <r>
    <s v="SALE875"/>
    <d v="2024-07-20T00:00:00"/>
    <s v="CUST1041"/>
    <s v="PROD76"/>
    <x v="15"/>
    <n v="4"/>
    <n v="762.94"/>
    <n v="0.09"/>
    <s v="COD"/>
    <x v="872"/>
  </r>
  <r>
    <s v="SALE876"/>
    <d v="2023-11-12T00:00:00"/>
    <s v="CUST1494"/>
    <s v="PROD41"/>
    <x v="13"/>
    <n v="1"/>
    <n v="409.03"/>
    <n v="0.25"/>
    <s v="COD"/>
    <x v="873"/>
  </r>
  <r>
    <s v="SALE877"/>
    <d v="2024-04-29T00:00:00"/>
    <s v="CUST1219"/>
    <s v="PROD96"/>
    <x v="14"/>
    <n v="2"/>
    <n v="891.13"/>
    <n v="0.13"/>
    <s v="Credit Card"/>
    <x v="874"/>
  </r>
  <r>
    <s v="SALE878"/>
    <d v="2024-10-28T00:00:00"/>
    <s v="CUST1032"/>
    <s v="PROD92"/>
    <x v="9"/>
    <n v="1"/>
    <n v="553.38"/>
    <n v="0.21"/>
    <s v="PayPal"/>
    <x v="875"/>
  </r>
  <r>
    <s v="SALE879"/>
    <d v="2023-12-21T00:00:00"/>
    <s v="CUST1160"/>
    <s v="PROD85"/>
    <x v="13"/>
    <n v="2"/>
    <n v="652.29999999999995"/>
    <n v="0.16"/>
    <s v="COD"/>
    <x v="876"/>
  </r>
  <r>
    <s v="SALE880"/>
    <d v="2024-10-10T00:00:00"/>
    <s v="CUST1122"/>
    <s v="PROD42"/>
    <x v="11"/>
    <n v="4"/>
    <n v="194.36"/>
    <n v="0.18"/>
    <s v="COD"/>
    <x v="877"/>
  </r>
  <r>
    <s v="SALE881"/>
    <d v="2025-01-03T00:00:00"/>
    <s v="CUST1153"/>
    <s v="PROD92"/>
    <x v="8"/>
    <n v="3"/>
    <n v="476.37"/>
    <n v="0.21"/>
    <s v="COD"/>
    <x v="878"/>
  </r>
  <r>
    <s v="SALE882"/>
    <d v="2024-03-09T00:00:00"/>
    <s v="CUST1365"/>
    <s v="PROD40"/>
    <x v="3"/>
    <n v="3"/>
    <n v="174.57"/>
    <n v="0"/>
    <s v="PayPal"/>
    <x v="879"/>
  </r>
  <r>
    <s v="SALE883"/>
    <d v="2024-08-22T00:00:00"/>
    <s v="CUST1119"/>
    <s v="PROD85"/>
    <x v="6"/>
    <n v="3"/>
    <n v="762"/>
    <n v="0.02"/>
    <s v="PayPal"/>
    <x v="880"/>
  </r>
  <r>
    <s v="SALE884"/>
    <d v="2024-04-13T00:00:00"/>
    <s v="CUST1425"/>
    <s v="PROD72"/>
    <x v="12"/>
    <n v="1"/>
    <n v="44.08"/>
    <n v="0.05"/>
    <s v="Credit Card"/>
    <x v="881"/>
  </r>
  <r>
    <s v="SALE885"/>
    <d v="2024-06-23T00:00:00"/>
    <s v="CUST1495"/>
    <s v="PROD59"/>
    <x v="13"/>
    <n v="1"/>
    <n v="992.37"/>
    <n v="0.24"/>
    <s v="COD"/>
    <x v="882"/>
  </r>
  <r>
    <s v="SALE886"/>
    <d v="2025-08-07T00:00:00"/>
    <s v="CUST1201"/>
    <s v="PROD31"/>
    <x v="15"/>
    <n v="3"/>
    <n v="465.4"/>
    <n v="0.28999999999999998"/>
    <s v="COD"/>
    <x v="883"/>
  </r>
  <r>
    <s v="SALE887"/>
    <d v="2025-03-08T00:00:00"/>
    <s v="CUST1337"/>
    <s v="PROD16"/>
    <x v="15"/>
    <n v="2"/>
    <n v="693.61"/>
    <n v="0.15"/>
    <s v="PayPal"/>
    <x v="884"/>
  </r>
  <r>
    <s v="SALE888"/>
    <d v="2025-05-24T00:00:00"/>
    <s v="CUST1465"/>
    <s v="PROD67"/>
    <x v="2"/>
    <n v="2"/>
    <n v="995.11"/>
    <n v="0.13"/>
    <s v="PayPal"/>
    <x v="885"/>
  </r>
  <r>
    <s v="SALE889"/>
    <d v="2025-04-02T00:00:00"/>
    <s v="CUST1381"/>
    <s v="PROD23"/>
    <x v="5"/>
    <n v="3"/>
    <n v="70.97"/>
    <n v="0.06"/>
    <s v="COD"/>
    <x v="886"/>
  </r>
  <r>
    <s v="SALE890"/>
    <d v="2024-02-03T00:00:00"/>
    <s v="CUST1113"/>
    <s v="PROD83"/>
    <x v="11"/>
    <n v="3"/>
    <n v="470.42"/>
    <n v="0.16"/>
    <s v="Credit Card"/>
    <x v="887"/>
  </r>
  <r>
    <s v="SALE891"/>
    <d v="2025-10-02T00:00:00"/>
    <s v="CUST1314"/>
    <s v="PROD86"/>
    <x v="9"/>
    <n v="2"/>
    <n v="215.59"/>
    <n v="0.18"/>
    <s v="Credit Card"/>
    <x v="888"/>
  </r>
  <r>
    <s v="SALE892"/>
    <d v="2025-08-26T00:00:00"/>
    <s v="CUST1239"/>
    <s v="PROD92"/>
    <x v="6"/>
    <n v="1"/>
    <n v="533.79999999999995"/>
    <n v="0.27"/>
    <s v="COD"/>
    <x v="889"/>
  </r>
  <r>
    <s v="SALE893"/>
    <d v="2024-11-18T00:00:00"/>
    <s v="CUST1093"/>
    <s v="PROD32"/>
    <x v="0"/>
    <n v="2"/>
    <n v="732.67"/>
    <n v="0.24"/>
    <s v="PayPal"/>
    <x v="890"/>
  </r>
  <r>
    <s v="SALE894"/>
    <d v="2023-11-17T00:00:00"/>
    <s v="CUST1489"/>
    <s v="PROD60"/>
    <x v="13"/>
    <n v="4"/>
    <n v="106.48"/>
    <n v="0.1"/>
    <s v="COD"/>
    <x v="891"/>
  </r>
  <r>
    <s v="SALE895"/>
    <d v="2025-02-08T00:00:00"/>
    <s v="CUST1105"/>
    <s v="PROD57"/>
    <x v="0"/>
    <n v="1"/>
    <n v="38.950000000000003"/>
    <n v="0.28000000000000003"/>
    <s v="Credit Card"/>
    <x v="892"/>
  </r>
  <r>
    <s v="SALE896"/>
    <d v="2024-01-03T00:00:00"/>
    <s v="CUST1431"/>
    <s v="PROD96"/>
    <x v="9"/>
    <n v="1"/>
    <n v="835.17"/>
    <n v="0.02"/>
    <s v="COD"/>
    <x v="893"/>
  </r>
  <r>
    <s v="SALE897"/>
    <d v="2024-04-07T00:00:00"/>
    <s v="CUST1134"/>
    <s v="PROD83"/>
    <x v="0"/>
    <n v="1"/>
    <n v="113.07"/>
    <n v="0.24"/>
    <s v="Credit Card"/>
    <x v="894"/>
  </r>
  <r>
    <s v="SALE898"/>
    <d v="2025-09-30T00:00:00"/>
    <s v="CUST1466"/>
    <s v="PROD94"/>
    <x v="18"/>
    <n v="2"/>
    <n v="451.33"/>
    <n v="0.23"/>
    <s v="COD"/>
    <x v="895"/>
  </r>
  <r>
    <s v="SALE899"/>
    <d v="2024-06-13T00:00:00"/>
    <s v="CUST1372"/>
    <s v="PROD86"/>
    <x v="16"/>
    <n v="3"/>
    <n v="619.80999999999995"/>
    <n v="0.16"/>
    <s v="COD"/>
    <x v="896"/>
  </r>
  <r>
    <s v="SALE900"/>
    <d v="2025-02-25T00:00:00"/>
    <s v="CUST1108"/>
    <s v="PROD62"/>
    <x v="4"/>
    <n v="4"/>
    <n v="46.97"/>
    <n v="0.26"/>
    <s v="PayPal"/>
    <x v="897"/>
  </r>
  <r>
    <s v="SALE901"/>
    <d v="2025-05-07T00:00:00"/>
    <s v="CUST1184"/>
    <s v="PROD46"/>
    <x v="17"/>
    <n v="2"/>
    <n v="71.48"/>
    <n v="0.14000000000000001"/>
    <s v="COD"/>
    <x v="898"/>
  </r>
  <r>
    <s v="SALE902"/>
    <d v="2025-06-04T00:00:00"/>
    <s v="CUST1000"/>
    <s v="PROD56"/>
    <x v="12"/>
    <n v="2"/>
    <n v="404.08"/>
    <n v="7.0000000000000007E-2"/>
    <s v="Credit Card"/>
    <x v="899"/>
  </r>
  <r>
    <s v="SALE903"/>
    <d v="2024-12-27T00:00:00"/>
    <s v="CUST1264"/>
    <s v="PROD17"/>
    <x v="9"/>
    <n v="1"/>
    <n v="519.91"/>
    <n v="0.05"/>
    <s v="COD"/>
    <x v="900"/>
  </r>
  <r>
    <s v="SALE904"/>
    <d v="2025-01-15T00:00:00"/>
    <s v="CUST1145"/>
    <s v="PROD48"/>
    <x v="13"/>
    <n v="3"/>
    <n v="566.16"/>
    <n v="0.05"/>
    <s v="PayPal"/>
    <x v="901"/>
  </r>
  <r>
    <s v="SALE905"/>
    <d v="2025-05-22T00:00:00"/>
    <s v="CUST1392"/>
    <s v="PROD52"/>
    <x v="15"/>
    <n v="2"/>
    <n v="295.12"/>
    <n v="0.09"/>
    <s v="COD"/>
    <x v="902"/>
  </r>
  <r>
    <s v="SALE906"/>
    <d v="2025-07-10T00:00:00"/>
    <s v="CUST1109"/>
    <s v="PROD34"/>
    <x v="19"/>
    <n v="2"/>
    <n v="414.18"/>
    <n v="0.25"/>
    <s v="PayPal"/>
    <x v="903"/>
  </r>
  <r>
    <s v="SALE907"/>
    <d v="2025-09-18T00:00:00"/>
    <s v="CUST1268"/>
    <s v="PROD58"/>
    <x v="2"/>
    <n v="2"/>
    <n v="433.75"/>
    <n v="0"/>
    <s v="Credit Card"/>
    <x v="904"/>
  </r>
  <r>
    <s v="SALE908"/>
    <d v="2023-12-28T00:00:00"/>
    <s v="CUST1281"/>
    <s v="PROD85"/>
    <x v="12"/>
    <n v="3"/>
    <n v="104.33"/>
    <n v="0.13"/>
    <s v="COD"/>
    <x v="905"/>
  </r>
  <r>
    <s v="SALE909"/>
    <d v="2024-07-04T00:00:00"/>
    <s v="CUST1464"/>
    <s v="PROD4"/>
    <x v="18"/>
    <n v="1"/>
    <n v="221.7"/>
    <n v="0.04"/>
    <s v="Credit Card"/>
    <x v="906"/>
  </r>
  <r>
    <s v="SALE910"/>
    <d v="2025-05-19T00:00:00"/>
    <s v="CUST1211"/>
    <s v="PROD67"/>
    <x v="3"/>
    <n v="2"/>
    <n v="491.26"/>
    <n v="0.14000000000000001"/>
    <s v="COD"/>
    <x v="907"/>
  </r>
  <r>
    <s v="SALE911"/>
    <d v="2024-12-04T00:00:00"/>
    <s v="CUST1181"/>
    <s v="PROD37"/>
    <x v="2"/>
    <n v="4"/>
    <n v="923.14"/>
    <n v="0.15"/>
    <s v="Credit Card"/>
    <x v="908"/>
  </r>
  <r>
    <s v="SALE912"/>
    <d v="2024-11-29T00:00:00"/>
    <s v="CUST1193"/>
    <s v="PROD64"/>
    <x v="4"/>
    <n v="2"/>
    <n v="747.65"/>
    <n v="0.08"/>
    <s v="Credit Card"/>
    <x v="909"/>
  </r>
  <r>
    <s v="SALE913"/>
    <d v="2025-04-26T00:00:00"/>
    <s v="CUST1109"/>
    <s v="PROD42"/>
    <x v="4"/>
    <n v="3"/>
    <n v="94.55"/>
    <n v="0.13"/>
    <s v="COD"/>
    <x v="910"/>
  </r>
  <r>
    <s v="SALE914"/>
    <d v="2024-01-17T00:00:00"/>
    <s v="CUST1039"/>
    <s v="PROD15"/>
    <x v="12"/>
    <n v="3"/>
    <n v="620.12"/>
    <n v="0.06"/>
    <s v="Credit Card"/>
    <x v="911"/>
  </r>
  <r>
    <s v="SALE915"/>
    <d v="2025-07-31T00:00:00"/>
    <s v="CUST1486"/>
    <s v="PROD69"/>
    <x v="16"/>
    <n v="2"/>
    <n v="354.09"/>
    <n v="0.12"/>
    <s v="COD"/>
    <x v="912"/>
  </r>
  <r>
    <s v="SALE916"/>
    <d v="2024-11-25T00:00:00"/>
    <s v="CUST1130"/>
    <s v="PROD53"/>
    <x v="3"/>
    <n v="3"/>
    <n v="214.94"/>
    <n v="0.22"/>
    <s v="COD"/>
    <x v="913"/>
  </r>
  <r>
    <s v="SALE917"/>
    <d v="2024-05-16T00:00:00"/>
    <s v="CUST1199"/>
    <s v="PROD9"/>
    <x v="18"/>
    <n v="2"/>
    <n v="309.77999999999997"/>
    <n v="0.16"/>
    <s v="Credit Card"/>
    <x v="914"/>
  </r>
  <r>
    <s v="SALE918"/>
    <d v="2025-05-30T00:00:00"/>
    <s v="CUST1069"/>
    <s v="PROD13"/>
    <x v="0"/>
    <n v="2"/>
    <n v="183.85"/>
    <n v="0.14000000000000001"/>
    <s v="PayPal"/>
    <x v="915"/>
  </r>
  <r>
    <s v="SALE919"/>
    <d v="2023-11-08T00:00:00"/>
    <s v="CUST1409"/>
    <s v="PROD70"/>
    <x v="6"/>
    <n v="1"/>
    <n v="550.05999999999995"/>
    <n v="0.01"/>
    <s v="Credit Card"/>
    <x v="916"/>
  </r>
  <r>
    <s v="SALE920"/>
    <d v="2023-11-23T00:00:00"/>
    <s v="CUST1029"/>
    <s v="PROD79"/>
    <x v="5"/>
    <n v="2"/>
    <n v="32.19"/>
    <n v="0.13"/>
    <s v="COD"/>
    <x v="917"/>
  </r>
  <r>
    <s v="SALE921"/>
    <d v="2024-06-17T00:00:00"/>
    <s v="CUST1138"/>
    <s v="PROD33"/>
    <x v="12"/>
    <n v="2"/>
    <n v="892.06"/>
    <n v="0.08"/>
    <s v="Credit Card"/>
    <x v="918"/>
  </r>
  <r>
    <s v="SALE922"/>
    <d v="2024-12-02T00:00:00"/>
    <s v="CUST1472"/>
    <s v="PROD58"/>
    <x v="16"/>
    <n v="1"/>
    <n v="127.47"/>
    <n v="0.16"/>
    <s v="COD"/>
    <x v="919"/>
  </r>
  <r>
    <s v="SALE923"/>
    <d v="2025-05-01T00:00:00"/>
    <s v="CUST1388"/>
    <s v="PROD77"/>
    <x v="7"/>
    <n v="3"/>
    <n v="212.87"/>
    <n v="0.18"/>
    <s v="Credit Card"/>
    <x v="920"/>
  </r>
  <r>
    <s v="SALE924"/>
    <d v="2024-06-28T00:00:00"/>
    <s v="CUST1181"/>
    <s v="PROD81"/>
    <x v="4"/>
    <n v="1"/>
    <n v="26.37"/>
    <n v="0.3"/>
    <s v="COD"/>
    <x v="921"/>
  </r>
  <r>
    <s v="SALE925"/>
    <d v="2025-04-23T00:00:00"/>
    <s v="CUST1466"/>
    <s v="PROD34"/>
    <x v="14"/>
    <n v="4"/>
    <n v="953.98"/>
    <n v="0.16"/>
    <s v="Credit Card"/>
    <x v="922"/>
  </r>
  <r>
    <s v="SALE926"/>
    <d v="2024-03-18T00:00:00"/>
    <s v="CUST1215"/>
    <s v="PROD67"/>
    <x v="12"/>
    <n v="3"/>
    <n v="968.88"/>
    <n v="0.15"/>
    <s v="Credit Card"/>
    <x v="923"/>
  </r>
  <r>
    <s v="SALE927"/>
    <d v="2025-09-10T00:00:00"/>
    <s v="CUST1187"/>
    <s v="PROD76"/>
    <x v="14"/>
    <n v="1"/>
    <n v="533.04999999999995"/>
    <n v="0.11"/>
    <s v="PayPal"/>
    <x v="924"/>
  </r>
  <r>
    <s v="SALE928"/>
    <d v="2024-12-11T00:00:00"/>
    <s v="CUST1381"/>
    <s v="PROD81"/>
    <x v="8"/>
    <n v="3"/>
    <n v="138.86000000000001"/>
    <n v="0.11"/>
    <s v="PayPal"/>
    <x v="925"/>
  </r>
  <r>
    <s v="SALE929"/>
    <d v="2025-02-18T00:00:00"/>
    <s v="CUST1159"/>
    <s v="PROD22"/>
    <x v="6"/>
    <n v="1"/>
    <n v="588.92999999999995"/>
    <n v="0.03"/>
    <s v="COD"/>
    <x v="926"/>
  </r>
  <r>
    <s v="SALE930"/>
    <d v="2024-09-22T00:00:00"/>
    <s v="CUST1403"/>
    <s v="PROD52"/>
    <x v="3"/>
    <n v="2"/>
    <n v="576.83000000000004"/>
    <n v="0.19"/>
    <s v="PayPal"/>
    <x v="927"/>
  </r>
  <r>
    <s v="SALE931"/>
    <d v="2024-02-16T00:00:00"/>
    <s v="CUST1323"/>
    <s v="PROD65"/>
    <x v="18"/>
    <n v="1"/>
    <n v="681.3"/>
    <n v="0.05"/>
    <s v="Credit Card"/>
    <x v="928"/>
  </r>
  <r>
    <s v="SALE932"/>
    <d v="2024-05-29T00:00:00"/>
    <s v="CUST1457"/>
    <s v="PROD25"/>
    <x v="10"/>
    <n v="3"/>
    <n v="504.97"/>
    <n v="0.3"/>
    <s v="Credit Card"/>
    <x v="929"/>
  </r>
  <r>
    <s v="SALE933"/>
    <d v="2024-04-14T00:00:00"/>
    <s v="CUST1060"/>
    <s v="PROD38"/>
    <x v="19"/>
    <n v="3"/>
    <n v="649.78"/>
    <n v="0.1"/>
    <s v="PayPal"/>
    <x v="930"/>
  </r>
  <r>
    <s v="SALE934"/>
    <d v="2024-01-26T00:00:00"/>
    <s v="CUST1245"/>
    <s v="PROD39"/>
    <x v="11"/>
    <n v="2"/>
    <n v="986.73"/>
    <n v="0.05"/>
    <s v="PayPal"/>
    <x v="931"/>
  </r>
  <r>
    <s v="SALE935"/>
    <d v="2023-11-05T00:00:00"/>
    <s v="CUST1119"/>
    <s v="PROD13"/>
    <x v="10"/>
    <n v="2"/>
    <n v="65.44"/>
    <n v="0.05"/>
    <s v="PayPal"/>
    <x v="932"/>
  </r>
  <r>
    <s v="SALE936"/>
    <d v="2025-06-16T00:00:00"/>
    <s v="CUST1383"/>
    <s v="PROD63"/>
    <x v="13"/>
    <n v="3"/>
    <n v="953.74"/>
    <n v="0.04"/>
    <s v="Credit Card"/>
    <x v="933"/>
  </r>
  <r>
    <s v="SALE937"/>
    <d v="2024-09-08T00:00:00"/>
    <s v="CUST1067"/>
    <s v="PROD76"/>
    <x v="15"/>
    <n v="3"/>
    <n v="904.48"/>
    <n v="0.21"/>
    <s v="PayPal"/>
    <x v="934"/>
  </r>
  <r>
    <s v="SALE938"/>
    <d v="2024-10-30T00:00:00"/>
    <s v="CUST1492"/>
    <s v="PROD62"/>
    <x v="10"/>
    <n v="3"/>
    <n v="920.82"/>
    <n v="0.1"/>
    <s v="PayPal"/>
    <x v="935"/>
  </r>
  <r>
    <s v="SALE939"/>
    <d v="2025-05-26T00:00:00"/>
    <s v="CUST1305"/>
    <s v="PROD28"/>
    <x v="8"/>
    <n v="1"/>
    <n v="182.28"/>
    <n v="0.15"/>
    <s v="COD"/>
    <x v="936"/>
  </r>
  <r>
    <s v="SALE940"/>
    <d v="2025-08-11T00:00:00"/>
    <s v="CUST1445"/>
    <s v="PROD31"/>
    <x v="9"/>
    <n v="3"/>
    <n v="938.68"/>
    <n v="0.14000000000000001"/>
    <s v="Credit Card"/>
    <x v="937"/>
  </r>
  <r>
    <s v="SALE941"/>
    <d v="2025-02-02T00:00:00"/>
    <s v="CUST1081"/>
    <s v="PROD91"/>
    <x v="3"/>
    <n v="3"/>
    <n v="219.96"/>
    <n v="0.18"/>
    <s v="PayPal"/>
    <x v="938"/>
  </r>
  <r>
    <s v="SALE942"/>
    <d v="2025-07-03T00:00:00"/>
    <s v="CUST1473"/>
    <s v="PROD71"/>
    <x v="14"/>
    <n v="3"/>
    <n v="385.74"/>
    <n v="0.27"/>
    <s v="Credit Card"/>
    <x v="939"/>
  </r>
  <r>
    <s v="SALE943"/>
    <d v="2024-03-29T00:00:00"/>
    <s v="CUST1453"/>
    <s v="PROD81"/>
    <x v="14"/>
    <n v="2"/>
    <n v="830.94"/>
    <n v="0.28000000000000003"/>
    <s v="PayPal"/>
    <x v="940"/>
  </r>
  <r>
    <s v="SALE944"/>
    <d v="2024-07-30T00:00:00"/>
    <s v="CUST1383"/>
    <s v="PROD3"/>
    <x v="11"/>
    <n v="3"/>
    <n v="462.75"/>
    <n v="0.22"/>
    <s v="PayPal"/>
    <x v="941"/>
  </r>
  <r>
    <s v="SALE945"/>
    <d v="2024-10-02T00:00:00"/>
    <s v="CUST1067"/>
    <s v="PROD14"/>
    <x v="10"/>
    <n v="4"/>
    <n v="973.9"/>
    <n v="0.02"/>
    <s v="COD"/>
    <x v="942"/>
  </r>
  <r>
    <s v="SALE946"/>
    <d v="2024-11-04T00:00:00"/>
    <s v="CUST1140"/>
    <s v="PROD35"/>
    <x v="8"/>
    <n v="2"/>
    <n v="157.18"/>
    <n v="0.15"/>
    <s v="Credit Card"/>
    <x v="943"/>
  </r>
  <r>
    <s v="SALE947"/>
    <d v="2024-05-03T00:00:00"/>
    <s v="CUST1013"/>
    <s v="PROD73"/>
    <x v="13"/>
    <n v="3"/>
    <n v="239.57"/>
    <n v="0.16"/>
    <s v="Credit Card"/>
    <x v="944"/>
  </r>
  <r>
    <s v="SALE948"/>
    <d v="2024-02-21T00:00:00"/>
    <s v="CUST1327"/>
    <s v="PROD9"/>
    <x v="9"/>
    <n v="4"/>
    <n v="583.21"/>
    <n v="0.2"/>
    <s v="Credit Card"/>
    <x v="945"/>
  </r>
  <r>
    <s v="SALE949"/>
    <d v="2024-04-17T00:00:00"/>
    <s v="CUST1413"/>
    <s v="PROD81"/>
    <x v="2"/>
    <n v="3"/>
    <n v="758.75"/>
    <n v="0.27"/>
    <s v="PayPal"/>
    <x v="946"/>
  </r>
  <r>
    <s v="SALE950"/>
    <d v="2025-02-01T00:00:00"/>
    <s v="CUST1309"/>
    <s v="PROD61"/>
    <x v="3"/>
    <n v="4"/>
    <n v="372.42"/>
    <n v="0.19"/>
    <s v="Credit Card"/>
    <x v="947"/>
  </r>
  <r>
    <s v="SALE951"/>
    <d v="2025-02-11T00:00:00"/>
    <s v="CUST1154"/>
    <s v="PROD63"/>
    <x v="12"/>
    <n v="4"/>
    <n v="286.27999999999997"/>
    <n v="0.28000000000000003"/>
    <s v="PayPal"/>
    <x v="948"/>
  </r>
  <r>
    <s v="SALE952"/>
    <d v="2025-01-06T00:00:00"/>
    <s v="CUST1279"/>
    <s v="PROD73"/>
    <x v="19"/>
    <n v="3"/>
    <n v="488.37"/>
    <n v="0.27"/>
    <s v="COD"/>
    <x v="949"/>
  </r>
  <r>
    <s v="SALE953"/>
    <d v="2024-03-26T00:00:00"/>
    <s v="CUST1469"/>
    <s v="PROD87"/>
    <x v="2"/>
    <n v="3"/>
    <n v="662.82"/>
    <n v="0.01"/>
    <s v="COD"/>
    <x v="950"/>
  </r>
  <r>
    <s v="SALE954"/>
    <d v="2024-04-30T00:00:00"/>
    <s v="CUST1497"/>
    <s v="PROD6"/>
    <x v="9"/>
    <n v="2"/>
    <n v="824.34"/>
    <n v="0.1"/>
    <s v="COD"/>
    <x v="951"/>
  </r>
  <r>
    <s v="SALE955"/>
    <d v="2024-02-27T00:00:00"/>
    <s v="CUST1113"/>
    <s v="PROD59"/>
    <x v="2"/>
    <n v="1"/>
    <n v="437.12"/>
    <n v="0.21"/>
    <s v="Credit Card"/>
    <x v="952"/>
  </r>
  <r>
    <s v="SALE956"/>
    <d v="2024-07-13T00:00:00"/>
    <s v="CUST1357"/>
    <s v="PROD88"/>
    <x v="16"/>
    <n v="3"/>
    <n v="23.37"/>
    <n v="0.15"/>
    <s v="PayPal"/>
    <x v="953"/>
  </r>
  <r>
    <s v="SALE957"/>
    <d v="2025-04-14T00:00:00"/>
    <s v="CUST1187"/>
    <s v="PROD36"/>
    <x v="2"/>
    <n v="1"/>
    <n v="579.69000000000005"/>
    <n v="0.02"/>
    <s v="Credit Card"/>
    <x v="954"/>
  </r>
  <r>
    <s v="SALE958"/>
    <d v="2024-12-13T00:00:00"/>
    <s v="CUST1430"/>
    <s v="PROD78"/>
    <x v="7"/>
    <n v="3"/>
    <n v="240.51"/>
    <n v="7.0000000000000007E-2"/>
    <s v="Credit Card"/>
    <x v="955"/>
  </r>
  <r>
    <s v="SALE959"/>
    <d v="2025-08-24T00:00:00"/>
    <s v="CUST1382"/>
    <s v="PROD25"/>
    <x v="7"/>
    <n v="2"/>
    <n v="855.4"/>
    <n v="0.08"/>
    <s v="COD"/>
    <x v="956"/>
  </r>
  <r>
    <s v="SALE960"/>
    <d v="2023-10-28T00:00:00"/>
    <s v="CUST1007"/>
    <s v="PROD90"/>
    <x v="4"/>
    <n v="1"/>
    <n v="537.26"/>
    <n v="0.09"/>
    <s v="Credit Card"/>
    <x v="957"/>
  </r>
  <r>
    <s v="SALE961"/>
    <d v="2024-12-11T00:00:00"/>
    <s v="CUST1384"/>
    <s v="PROD51"/>
    <x v="15"/>
    <n v="3"/>
    <n v="918.26"/>
    <n v="0.17"/>
    <s v="COD"/>
    <x v="958"/>
  </r>
  <r>
    <s v="SALE962"/>
    <d v="2024-06-29T00:00:00"/>
    <s v="CUST1095"/>
    <s v="PROD6"/>
    <x v="11"/>
    <n v="4"/>
    <n v="579.70000000000005"/>
    <n v="0.18"/>
    <s v="PayPal"/>
    <x v="959"/>
  </r>
  <r>
    <s v="SALE963"/>
    <d v="2025-02-22T00:00:00"/>
    <s v="CUST1145"/>
    <s v="PROD43"/>
    <x v="16"/>
    <n v="1"/>
    <n v="824.32"/>
    <n v="0.18"/>
    <s v="Credit Card"/>
    <x v="960"/>
  </r>
  <r>
    <s v="SALE964"/>
    <d v="2025-01-25T00:00:00"/>
    <s v="CUST1109"/>
    <s v="PROD46"/>
    <x v="10"/>
    <n v="4"/>
    <n v="614.99"/>
    <n v="0.16"/>
    <s v="PayPal"/>
    <x v="961"/>
  </r>
  <r>
    <s v="SALE965"/>
    <d v="2025-03-14T00:00:00"/>
    <s v="CUST1128"/>
    <s v="PROD62"/>
    <x v="6"/>
    <n v="4"/>
    <n v="189.21"/>
    <n v="0.06"/>
    <s v="COD"/>
    <x v="962"/>
  </r>
  <r>
    <s v="SALE966"/>
    <d v="2024-12-03T00:00:00"/>
    <s v="CUST1154"/>
    <s v="PROD62"/>
    <x v="7"/>
    <n v="2"/>
    <n v="233.33"/>
    <n v="0.05"/>
    <s v="Credit Card"/>
    <x v="963"/>
  </r>
  <r>
    <s v="SALE967"/>
    <d v="2025-05-06T00:00:00"/>
    <s v="CUST1248"/>
    <s v="PROD39"/>
    <x v="14"/>
    <n v="3"/>
    <n v="529.89"/>
    <n v="0.21"/>
    <s v="Credit Card"/>
    <x v="964"/>
  </r>
  <r>
    <s v="SALE968"/>
    <d v="2024-08-14T00:00:00"/>
    <s v="CUST1489"/>
    <s v="PROD92"/>
    <x v="8"/>
    <n v="2"/>
    <n v="954.1"/>
    <n v="0.17"/>
    <s v="PayPal"/>
    <x v="965"/>
  </r>
  <r>
    <s v="SALE969"/>
    <d v="2023-12-14T00:00:00"/>
    <s v="CUST1323"/>
    <s v="PROD65"/>
    <x v="4"/>
    <n v="1"/>
    <n v="370.04"/>
    <n v="0.04"/>
    <s v="COD"/>
    <x v="966"/>
  </r>
  <r>
    <s v="SALE970"/>
    <d v="2024-01-06T00:00:00"/>
    <s v="CUST1061"/>
    <s v="PROD96"/>
    <x v="12"/>
    <n v="4"/>
    <n v="492.71"/>
    <n v="0.08"/>
    <s v="Credit Card"/>
    <x v="967"/>
  </r>
  <r>
    <s v="SALE971"/>
    <d v="2024-08-26T00:00:00"/>
    <s v="CUST1280"/>
    <s v="PROD91"/>
    <x v="13"/>
    <n v="4"/>
    <n v="853.26"/>
    <n v="0.24"/>
    <s v="COD"/>
    <x v="968"/>
  </r>
  <r>
    <s v="SALE972"/>
    <d v="2025-03-24T00:00:00"/>
    <s v="CUST1406"/>
    <s v="PROD3"/>
    <x v="9"/>
    <n v="1"/>
    <n v="402.47"/>
    <n v="0.19"/>
    <s v="PayPal"/>
    <x v="969"/>
  </r>
  <r>
    <s v="SALE973"/>
    <d v="2024-01-20T00:00:00"/>
    <s v="CUST1402"/>
    <s v="PROD54"/>
    <x v="14"/>
    <n v="2"/>
    <n v="528.29999999999995"/>
    <n v="0.24"/>
    <s v="Credit Card"/>
    <x v="970"/>
  </r>
  <r>
    <s v="SALE974"/>
    <d v="2025-01-10T00:00:00"/>
    <s v="CUST1444"/>
    <s v="PROD10"/>
    <x v="16"/>
    <n v="4"/>
    <n v="599.85"/>
    <n v="0.25"/>
    <s v="Credit Card"/>
    <x v="971"/>
  </r>
  <r>
    <s v="SALE975"/>
    <d v="2023-12-21T00:00:00"/>
    <s v="CUST1303"/>
    <s v="PROD16"/>
    <x v="11"/>
    <n v="2"/>
    <n v="61.42"/>
    <n v="0.08"/>
    <s v="PayPal"/>
    <x v="972"/>
  </r>
  <r>
    <s v="SALE976"/>
    <d v="2025-02-05T00:00:00"/>
    <s v="CUST1249"/>
    <s v="PROD19"/>
    <x v="15"/>
    <n v="2"/>
    <n v="466.42"/>
    <n v="0.12"/>
    <s v="PayPal"/>
    <x v="973"/>
  </r>
  <r>
    <s v="SALE977"/>
    <d v="2025-07-19T00:00:00"/>
    <s v="CUST1099"/>
    <s v="PROD31"/>
    <x v="3"/>
    <n v="4"/>
    <n v="540.69000000000005"/>
    <n v="0.09"/>
    <s v="COD"/>
    <x v="974"/>
  </r>
  <r>
    <s v="SALE978"/>
    <d v="2025-03-21T00:00:00"/>
    <s v="CUST1298"/>
    <s v="PROD19"/>
    <x v="13"/>
    <n v="3"/>
    <n v="677.46"/>
    <n v="0.05"/>
    <s v="Credit Card"/>
    <x v="975"/>
  </r>
  <r>
    <s v="SALE979"/>
    <d v="2025-04-24T00:00:00"/>
    <s v="CUST1328"/>
    <s v="PROD21"/>
    <x v="8"/>
    <n v="3"/>
    <n v="614.63"/>
    <n v="0.06"/>
    <s v="PayPal"/>
    <x v="976"/>
  </r>
  <r>
    <s v="SALE980"/>
    <d v="2023-12-12T00:00:00"/>
    <s v="CUST1232"/>
    <s v="PROD66"/>
    <x v="2"/>
    <n v="4"/>
    <n v="649.52"/>
    <n v="0.11"/>
    <s v="Credit Card"/>
    <x v="977"/>
  </r>
  <r>
    <s v="SALE981"/>
    <d v="2024-07-08T00:00:00"/>
    <s v="CUST1445"/>
    <s v="PROD85"/>
    <x v="2"/>
    <n v="2"/>
    <n v="943.93"/>
    <n v="0.22"/>
    <s v="PayPal"/>
    <x v="978"/>
  </r>
  <r>
    <s v="SALE982"/>
    <d v="2023-10-29T00:00:00"/>
    <s v="CUST1165"/>
    <s v="PROD31"/>
    <x v="2"/>
    <n v="4"/>
    <n v="538.73"/>
    <n v="0.03"/>
    <s v="Credit Card"/>
    <x v="979"/>
  </r>
  <r>
    <s v="SALE983"/>
    <d v="2024-05-20T00:00:00"/>
    <s v="CUST1088"/>
    <s v="PROD66"/>
    <x v="2"/>
    <n v="2"/>
    <n v="853.93"/>
    <n v="0.01"/>
    <s v="PayPal"/>
    <x v="980"/>
  </r>
  <r>
    <s v="SALE984"/>
    <d v="2025-09-14T00:00:00"/>
    <s v="CUST1491"/>
    <s v="PROD29"/>
    <x v="5"/>
    <n v="4"/>
    <n v="465.42"/>
    <n v="0.26"/>
    <s v="COD"/>
    <x v="981"/>
  </r>
  <r>
    <s v="SALE985"/>
    <d v="2025-04-11T00:00:00"/>
    <s v="CUST1055"/>
    <s v="PROD1"/>
    <x v="19"/>
    <n v="4"/>
    <n v="880.26"/>
    <n v="0.11"/>
    <s v="COD"/>
    <x v="982"/>
  </r>
  <r>
    <s v="SALE986"/>
    <d v="2024-05-17T00:00:00"/>
    <s v="CUST1483"/>
    <s v="PROD51"/>
    <x v="19"/>
    <n v="3"/>
    <n v="461.02"/>
    <n v="0.28999999999999998"/>
    <s v="PayPal"/>
    <x v="983"/>
  </r>
  <r>
    <s v="SALE987"/>
    <d v="2024-10-13T00:00:00"/>
    <s v="CUST1026"/>
    <s v="PROD25"/>
    <x v="13"/>
    <n v="1"/>
    <n v="531.99"/>
    <n v="0.17"/>
    <s v="PayPal"/>
    <x v="984"/>
  </r>
  <r>
    <s v="SALE988"/>
    <d v="2024-07-13T00:00:00"/>
    <s v="CUST1004"/>
    <s v="PROD47"/>
    <x v="1"/>
    <n v="2"/>
    <n v="274.08999999999997"/>
    <n v="0.13"/>
    <s v="PayPal"/>
    <x v="985"/>
  </r>
  <r>
    <s v="SALE989"/>
    <d v="2025-02-06T00:00:00"/>
    <s v="CUST1443"/>
    <s v="PROD88"/>
    <x v="15"/>
    <n v="1"/>
    <n v="66.14"/>
    <n v="0.14000000000000001"/>
    <s v="COD"/>
    <x v="986"/>
  </r>
  <r>
    <s v="SALE990"/>
    <d v="2025-08-06T00:00:00"/>
    <s v="CUST1077"/>
    <s v="PROD20"/>
    <x v="11"/>
    <n v="3"/>
    <n v="955.82"/>
    <n v="0.16"/>
    <s v="COD"/>
    <x v="987"/>
  </r>
  <r>
    <s v="SALE991"/>
    <d v="2024-05-20T00:00:00"/>
    <s v="CUST1319"/>
    <s v="PROD22"/>
    <x v="18"/>
    <n v="1"/>
    <n v="904.92"/>
    <n v="0.13"/>
    <s v="Credit Card"/>
    <x v="988"/>
  </r>
  <r>
    <s v="SALE992"/>
    <d v="2024-10-10T00:00:00"/>
    <s v="CUST1000"/>
    <s v="PROD40"/>
    <x v="4"/>
    <n v="3"/>
    <n v="490.02"/>
    <n v="0.26"/>
    <s v="Credit Card"/>
    <x v="989"/>
  </r>
  <r>
    <s v="SALE993"/>
    <d v="2024-02-18T00:00:00"/>
    <s v="CUST1363"/>
    <s v="PROD19"/>
    <x v="16"/>
    <n v="2"/>
    <n v="957.54"/>
    <n v="0.1"/>
    <s v="COD"/>
    <x v="990"/>
  </r>
  <r>
    <s v="SALE994"/>
    <d v="2025-09-26T00:00:00"/>
    <s v="CUST1329"/>
    <s v="PROD99"/>
    <x v="13"/>
    <n v="2"/>
    <n v="314.39999999999998"/>
    <n v="7.0000000000000007E-2"/>
    <s v="PayPal"/>
    <x v="991"/>
  </r>
  <r>
    <s v="SALE995"/>
    <d v="2024-03-22T00:00:00"/>
    <s v="CUST1394"/>
    <s v="PROD24"/>
    <x v="16"/>
    <n v="3"/>
    <n v="480.11"/>
    <n v="0.11"/>
    <s v="PayPal"/>
    <x v="992"/>
  </r>
  <r>
    <s v="SALE996"/>
    <d v="2024-10-14T00:00:00"/>
    <s v="CUST1388"/>
    <s v="PROD48"/>
    <x v="16"/>
    <n v="4"/>
    <n v="826.55"/>
    <n v="0.28000000000000003"/>
    <s v="Credit Card"/>
    <x v="993"/>
  </r>
  <r>
    <s v="SALE997"/>
    <d v="2025-05-28T00:00:00"/>
    <s v="CUST1190"/>
    <s v="PROD27"/>
    <x v="0"/>
    <n v="3"/>
    <n v="530.16999999999996"/>
    <n v="0.18"/>
    <s v="PayPal"/>
    <x v="994"/>
  </r>
  <r>
    <s v="SALE998"/>
    <d v="2024-08-18T00:00:00"/>
    <s v="CUST1407"/>
    <s v="PROD34"/>
    <x v="1"/>
    <n v="3"/>
    <n v="336.17"/>
    <n v="0.04"/>
    <s v="COD"/>
    <x v="995"/>
  </r>
  <r>
    <s v="SALE999"/>
    <d v="2024-01-13T00:00:00"/>
    <s v="CUST1421"/>
    <s v="PROD81"/>
    <x v="2"/>
    <n v="4"/>
    <n v="22.51"/>
    <n v="0.27"/>
    <s v="PayPal"/>
    <x v="996"/>
  </r>
  <r>
    <s v="SALE1000"/>
    <d v="2024-06-13T00:00:00"/>
    <s v="CUST1190"/>
    <s v="PROD59"/>
    <x v="17"/>
    <n v="2"/>
    <n v="909.51"/>
    <n v="0.27"/>
    <s v="Credit Card"/>
    <x v="997"/>
  </r>
  <r>
    <s v="SALE1001"/>
    <d v="2025-04-29T00:00:00"/>
    <s v="CUST1052"/>
    <s v="PROD69"/>
    <x v="7"/>
    <n v="4"/>
    <n v="593.84"/>
    <n v="0.24"/>
    <s v="PayPal"/>
    <x v="998"/>
  </r>
  <r>
    <s v="SALE1002"/>
    <d v="2024-10-01T00:00:00"/>
    <s v="CUST1109"/>
    <s v="PROD73"/>
    <x v="15"/>
    <n v="3"/>
    <n v="909.11"/>
    <n v="0.23"/>
    <s v="COD"/>
    <x v="999"/>
  </r>
  <r>
    <s v="SALE1003"/>
    <d v="2024-09-07T00:00:00"/>
    <s v="CUST1399"/>
    <s v="PROD24"/>
    <x v="8"/>
    <n v="4"/>
    <n v="996.85"/>
    <n v="0.24"/>
    <s v="PayPal"/>
    <x v="1000"/>
  </r>
  <r>
    <s v="SALE1004"/>
    <d v="2025-06-26T00:00:00"/>
    <s v="CUST1300"/>
    <s v="PROD0"/>
    <x v="1"/>
    <n v="1"/>
    <n v="522.69000000000005"/>
    <n v="0.06"/>
    <s v="COD"/>
    <x v="1001"/>
  </r>
  <r>
    <s v="SALE1005"/>
    <d v="2024-04-23T00:00:00"/>
    <s v="CUST1194"/>
    <s v="PROD54"/>
    <x v="0"/>
    <n v="3"/>
    <n v="261.05"/>
    <n v="0.12"/>
    <s v="PayPal"/>
    <x v="1002"/>
  </r>
  <r>
    <s v="SALE1006"/>
    <d v="2025-09-18T00:00:00"/>
    <s v="CUST1087"/>
    <s v="PROD23"/>
    <x v="1"/>
    <n v="3"/>
    <n v="644.73"/>
    <n v="0.01"/>
    <s v="COD"/>
    <x v="1003"/>
  </r>
  <r>
    <s v="SALE1007"/>
    <d v="2023-10-18T00:00:00"/>
    <s v="CUST1198"/>
    <s v="PROD75"/>
    <x v="17"/>
    <n v="2"/>
    <n v="541.52"/>
    <n v="0.26"/>
    <s v="PayPal"/>
    <x v="1004"/>
  </r>
  <r>
    <s v="SALE1008"/>
    <d v="2023-11-29T00:00:00"/>
    <s v="CUST1426"/>
    <s v="PROD63"/>
    <x v="15"/>
    <n v="1"/>
    <n v="395.18"/>
    <n v="0.09"/>
    <s v="PayPal"/>
    <x v="1005"/>
  </r>
  <r>
    <s v="SALE1009"/>
    <d v="2025-03-24T00:00:00"/>
    <s v="CUST1100"/>
    <s v="PROD8"/>
    <x v="2"/>
    <n v="4"/>
    <n v="56.37"/>
    <n v="0.17"/>
    <s v="Credit Card"/>
    <x v="1006"/>
  </r>
  <r>
    <s v="SALE1010"/>
    <d v="2025-09-08T00:00:00"/>
    <s v="CUST1209"/>
    <s v="PROD79"/>
    <x v="11"/>
    <n v="4"/>
    <n v="202.59"/>
    <n v="0.06"/>
    <s v="COD"/>
    <x v="1007"/>
  </r>
  <r>
    <s v="SALE1011"/>
    <d v="2024-11-05T00:00:00"/>
    <s v="CUST1004"/>
    <s v="PROD81"/>
    <x v="3"/>
    <n v="2"/>
    <n v="358.36"/>
    <n v="0.05"/>
    <s v="PayPal"/>
    <x v="1008"/>
  </r>
  <r>
    <s v="SALE1012"/>
    <d v="2024-08-31T00:00:00"/>
    <s v="CUST1072"/>
    <s v="PROD37"/>
    <x v="14"/>
    <n v="4"/>
    <n v="85.62"/>
    <n v="0.28000000000000003"/>
    <s v="COD"/>
    <x v="1009"/>
  </r>
  <r>
    <s v="SALE1013"/>
    <d v="2024-06-16T00:00:00"/>
    <s v="CUST1185"/>
    <s v="PROD7"/>
    <x v="1"/>
    <n v="4"/>
    <n v="929.26"/>
    <n v="0.23"/>
    <s v="PayPal"/>
    <x v="1010"/>
  </r>
  <r>
    <s v="SALE1014"/>
    <d v="2025-01-24T00:00:00"/>
    <s v="CUST1309"/>
    <s v="PROD60"/>
    <x v="13"/>
    <n v="2"/>
    <n v="92.64"/>
    <n v="0.14000000000000001"/>
    <s v="COD"/>
    <x v="1011"/>
  </r>
  <r>
    <s v="SALE1015"/>
    <d v="2025-03-09T00:00:00"/>
    <s v="CUST1248"/>
    <s v="PROD62"/>
    <x v="5"/>
    <n v="4"/>
    <n v="139.05000000000001"/>
    <n v="0.28999999999999998"/>
    <s v="COD"/>
    <x v="1012"/>
  </r>
  <r>
    <s v="SALE1016"/>
    <d v="2024-06-18T00:00:00"/>
    <s v="CUST1140"/>
    <s v="PROD53"/>
    <x v="5"/>
    <n v="3"/>
    <n v="155.87"/>
    <n v="0.03"/>
    <s v="COD"/>
    <x v="1013"/>
  </r>
  <r>
    <s v="SALE1017"/>
    <d v="2025-06-29T00:00:00"/>
    <s v="CUST1442"/>
    <s v="PROD34"/>
    <x v="9"/>
    <n v="4"/>
    <n v="115.42"/>
    <n v="0.03"/>
    <s v="COD"/>
    <x v="1014"/>
  </r>
  <r>
    <s v="SALE1018"/>
    <d v="2025-06-15T00:00:00"/>
    <s v="CUST1122"/>
    <s v="PROD52"/>
    <x v="16"/>
    <n v="3"/>
    <n v="593.62"/>
    <n v="0.08"/>
    <s v="Credit Card"/>
    <x v="1015"/>
  </r>
  <r>
    <s v="SALE1019"/>
    <d v="2025-03-17T00:00:00"/>
    <s v="CUST1353"/>
    <s v="PROD45"/>
    <x v="5"/>
    <n v="2"/>
    <n v="825.04"/>
    <n v="0.2"/>
    <s v="Credit Card"/>
    <x v="1016"/>
  </r>
  <r>
    <s v="SALE1020"/>
    <d v="2024-01-31T00:00:00"/>
    <s v="CUST1464"/>
    <s v="PROD25"/>
    <x v="13"/>
    <n v="1"/>
    <n v="963.76"/>
    <n v="0.14000000000000001"/>
    <s v="PayPal"/>
    <x v="1017"/>
  </r>
  <r>
    <s v="SALE1021"/>
    <d v="2024-05-03T00:00:00"/>
    <s v="CUST1292"/>
    <s v="PROD55"/>
    <x v="16"/>
    <n v="1"/>
    <n v="238.24"/>
    <n v="0.12"/>
    <s v="PayPal"/>
    <x v="1018"/>
  </r>
  <r>
    <s v="SALE1022"/>
    <d v="2024-12-18T00:00:00"/>
    <s v="CUST1457"/>
    <s v="PROD82"/>
    <x v="9"/>
    <n v="1"/>
    <n v="756.63"/>
    <n v="0.04"/>
    <s v="PayPal"/>
    <x v="1019"/>
  </r>
  <r>
    <s v="SALE1023"/>
    <d v="2025-07-07T00:00:00"/>
    <s v="CUST1019"/>
    <s v="PROD93"/>
    <x v="4"/>
    <n v="3"/>
    <n v="159.76"/>
    <n v="0.22"/>
    <s v="Credit Card"/>
    <x v="1020"/>
  </r>
  <r>
    <s v="SALE1024"/>
    <d v="2024-03-03T00:00:00"/>
    <s v="CUST1368"/>
    <s v="PROD95"/>
    <x v="2"/>
    <n v="1"/>
    <n v="329.94"/>
    <n v="0.14000000000000001"/>
    <s v="COD"/>
    <x v="1021"/>
  </r>
  <r>
    <s v="SALE1025"/>
    <d v="2025-03-04T00:00:00"/>
    <s v="CUST1060"/>
    <s v="PROD17"/>
    <x v="2"/>
    <n v="1"/>
    <n v="234.06"/>
    <n v="0.11"/>
    <s v="PayPal"/>
    <x v="1022"/>
  </r>
  <r>
    <s v="SALE1026"/>
    <d v="2023-12-18T00:00:00"/>
    <s v="CUST1317"/>
    <s v="PROD81"/>
    <x v="6"/>
    <n v="2"/>
    <n v="773.75"/>
    <n v="0.16"/>
    <s v="PayPal"/>
    <x v="1023"/>
  </r>
  <r>
    <s v="SALE1027"/>
    <d v="2024-05-10T00:00:00"/>
    <s v="CUST1436"/>
    <s v="PROD52"/>
    <x v="14"/>
    <n v="1"/>
    <n v="73.88"/>
    <n v="0.04"/>
    <s v="Credit Card"/>
    <x v="1024"/>
  </r>
  <r>
    <s v="SALE1028"/>
    <d v="2024-02-15T00:00:00"/>
    <s v="CUST1005"/>
    <s v="PROD86"/>
    <x v="14"/>
    <n v="1"/>
    <n v="859.3"/>
    <n v="0.16"/>
    <s v="PayPal"/>
    <x v="1025"/>
  </r>
  <r>
    <s v="SALE1029"/>
    <d v="2024-09-29T00:00:00"/>
    <s v="CUST1129"/>
    <s v="PROD81"/>
    <x v="16"/>
    <n v="4"/>
    <n v="762.43"/>
    <n v="0.05"/>
    <s v="Credit Card"/>
    <x v="1026"/>
  </r>
  <r>
    <s v="SALE1030"/>
    <d v="2024-05-12T00:00:00"/>
    <s v="CUST1124"/>
    <s v="PROD73"/>
    <x v="6"/>
    <n v="1"/>
    <n v="328.51"/>
    <n v="0.2"/>
    <s v="COD"/>
    <x v="1027"/>
  </r>
  <r>
    <s v="SALE1031"/>
    <d v="2025-03-03T00:00:00"/>
    <s v="CUST1274"/>
    <s v="PROD44"/>
    <x v="5"/>
    <n v="1"/>
    <n v="34.51"/>
    <n v="0.04"/>
    <s v="COD"/>
    <x v="1028"/>
  </r>
  <r>
    <s v="SALE1032"/>
    <d v="2023-11-20T00:00:00"/>
    <s v="CUST1105"/>
    <s v="PROD19"/>
    <x v="19"/>
    <n v="3"/>
    <n v="663.73"/>
    <n v="0.06"/>
    <s v="COD"/>
    <x v="1029"/>
  </r>
  <r>
    <s v="SALE1033"/>
    <d v="2024-07-06T00:00:00"/>
    <s v="CUST1246"/>
    <s v="PROD33"/>
    <x v="11"/>
    <n v="1"/>
    <n v="409.41"/>
    <n v="0.13"/>
    <s v="PayPal"/>
    <x v="1030"/>
  </r>
  <r>
    <s v="SALE1034"/>
    <d v="2025-03-11T00:00:00"/>
    <s v="CUST1092"/>
    <s v="PROD78"/>
    <x v="0"/>
    <n v="3"/>
    <n v="461.03"/>
    <n v="0.11"/>
    <s v="PayPal"/>
    <x v="1031"/>
  </r>
  <r>
    <s v="SALE1035"/>
    <d v="2024-04-12T00:00:00"/>
    <s v="CUST1368"/>
    <s v="PROD19"/>
    <x v="7"/>
    <n v="2"/>
    <n v="760.14"/>
    <n v="0.02"/>
    <s v="COD"/>
    <x v="1032"/>
  </r>
  <r>
    <s v="SALE1036"/>
    <d v="2025-04-26T00:00:00"/>
    <s v="CUST1278"/>
    <s v="PROD23"/>
    <x v="8"/>
    <n v="3"/>
    <n v="688.76"/>
    <n v="0.12"/>
    <s v="PayPal"/>
    <x v="1033"/>
  </r>
  <r>
    <s v="SALE1037"/>
    <d v="2025-05-02T00:00:00"/>
    <s v="CUST1159"/>
    <s v="PROD43"/>
    <x v="11"/>
    <n v="2"/>
    <n v="257.77999999999997"/>
    <n v="0.05"/>
    <s v="Credit Card"/>
    <x v="1034"/>
  </r>
  <r>
    <s v="SALE1038"/>
    <d v="2024-04-18T00:00:00"/>
    <s v="CUST1052"/>
    <s v="PROD53"/>
    <x v="4"/>
    <n v="2"/>
    <n v="314.29000000000002"/>
    <n v="0.19"/>
    <s v="COD"/>
    <x v="1035"/>
  </r>
  <r>
    <s v="SALE1039"/>
    <d v="2024-08-16T00:00:00"/>
    <s v="CUST1155"/>
    <s v="PROD72"/>
    <x v="7"/>
    <n v="3"/>
    <n v="336.09"/>
    <n v="0.01"/>
    <s v="PayPal"/>
    <x v="1036"/>
  </r>
  <r>
    <s v="SALE1040"/>
    <d v="2025-07-23T00:00:00"/>
    <s v="CUST1002"/>
    <s v="PROD75"/>
    <x v="1"/>
    <n v="3"/>
    <n v="202.07"/>
    <n v="0.23"/>
    <s v="PayPal"/>
    <x v="1037"/>
  </r>
  <r>
    <s v="SALE1041"/>
    <d v="2025-05-04T00:00:00"/>
    <s v="CUST1310"/>
    <s v="PROD17"/>
    <x v="2"/>
    <n v="2"/>
    <n v="485.25"/>
    <n v="0.28000000000000003"/>
    <s v="Credit Card"/>
    <x v="1038"/>
  </r>
  <r>
    <s v="SALE1042"/>
    <d v="2025-09-06T00:00:00"/>
    <s v="CUST1171"/>
    <s v="PROD75"/>
    <x v="15"/>
    <n v="4"/>
    <n v="552.38"/>
    <n v="0.1"/>
    <s v="PayPal"/>
    <x v="1039"/>
  </r>
  <r>
    <s v="SALE1043"/>
    <d v="2023-11-21T00:00:00"/>
    <s v="CUST1107"/>
    <s v="PROD58"/>
    <x v="1"/>
    <n v="4"/>
    <n v="377.26"/>
    <n v="0.22"/>
    <s v="COD"/>
    <x v="1040"/>
  </r>
  <r>
    <s v="SALE1044"/>
    <d v="2023-11-27T00:00:00"/>
    <s v="CUST1053"/>
    <s v="PROD47"/>
    <x v="12"/>
    <n v="4"/>
    <n v="189.07"/>
    <n v="0.1"/>
    <s v="COD"/>
    <x v="1041"/>
  </r>
  <r>
    <s v="SALE1045"/>
    <d v="2025-06-10T00:00:00"/>
    <s v="CUST1499"/>
    <s v="PROD30"/>
    <x v="5"/>
    <n v="3"/>
    <n v="272.27"/>
    <n v="0.01"/>
    <s v="Credit Card"/>
    <x v="1042"/>
  </r>
  <r>
    <s v="SALE1046"/>
    <d v="2025-05-29T00:00:00"/>
    <s v="CUST1264"/>
    <s v="PROD92"/>
    <x v="19"/>
    <n v="1"/>
    <n v="209.39"/>
    <n v="0.28000000000000003"/>
    <s v="PayPal"/>
    <x v="1043"/>
  </r>
  <r>
    <s v="SALE1047"/>
    <d v="2023-12-28T00:00:00"/>
    <s v="CUST1053"/>
    <s v="PROD80"/>
    <x v="11"/>
    <n v="1"/>
    <n v="813.87"/>
    <n v="0.23"/>
    <s v="Credit Card"/>
    <x v="1044"/>
  </r>
  <r>
    <s v="SALE1048"/>
    <d v="2025-05-06T00:00:00"/>
    <s v="CUST1257"/>
    <s v="PROD28"/>
    <x v="6"/>
    <n v="1"/>
    <n v="143.69999999999999"/>
    <n v="0.19"/>
    <s v="PayPal"/>
    <x v="1045"/>
  </r>
  <r>
    <s v="SALE1049"/>
    <d v="2024-04-03T00:00:00"/>
    <s v="CUST1470"/>
    <s v="PROD46"/>
    <x v="8"/>
    <n v="4"/>
    <n v="837.34"/>
    <n v="0.05"/>
    <s v="PayPal"/>
    <x v="1046"/>
  </r>
  <r>
    <s v="SALE1050"/>
    <d v="2025-08-09T00:00:00"/>
    <s v="CUST1120"/>
    <s v="PROD15"/>
    <x v="12"/>
    <n v="1"/>
    <n v="151.66"/>
    <n v="0.16"/>
    <s v="COD"/>
    <x v="1047"/>
  </r>
  <r>
    <s v="SALE1051"/>
    <d v="2025-03-04T00:00:00"/>
    <s v="CUST1499"/>
    <s v="PROD44"/>
    <x v="2"/>
    <n v="3"/>
    <n v="961.4"/>
    <n v="0.02"/>
    <s v="PayPal"/>
    <x v="1048"/>
  </r>
  <r>
    <s v="SALE1052"/>
    <d v="2024-07-30T00:00:00"/>
    <s v="CUST1370"/>
    <s v="PROD74"/>
    <x v="14"/>
    <n v="4"/>
    <n v="475.98"/>
    <n v="0.19"/>
    <s v="PayPal"/>
    <x v="1049"/>
  </r>
  <r>
    <s v="SALE1053"/>
    <d v="2024-09-16T00:00:00"/>
    <s v="CUST1380"/>
    <s v="PROD38"/>
    <x v="10"/>
    <n v="4"/>
    <n v="132.88999999999999"/>
    <n v="0.12"/>
    <s v="Credit Card"/>
    <x v="1050"/>
  </r>
  <r>
    <s v="SALE1054"/>
    <d v="2025-07-12T00:00:00"/>
    <s v="CUST1437"/>
    <s v="PROD35"/>
    <x v="18"/>
    <n v="3"/>
    <n v="471.31"/>
    <n v="0"/>
    <s v="PayPal"/>
    <x v="1051"/>
  </r>
  <r>
    <s v="SALE1055"/>
    <d v="2024-05-29T00:00:00"/>
    <s v="CUST1464"/>
    <s v="PROD76"/>
    <x v="7"/>
    <n v="2"/>
    <n v="720.32"/>
    <n v="0.26"/>
    <s v="Credit Card"/>
    <x v="1052"/>
  </r>
  <r>
    <s v="SALE1056"/>
    <d v="2024-05-19T00:00:00"/>
    <s v="CUST1075"/>
    <s v="PROD66"/>
    <x v="14"/>
    <n v="4"/>
    <n v="99.92"/>
    <n v="0.11"/>
    <s v="COD"/>
    <x v="1053"/>
  </r>
  <r>
    <s v="SALE1057"/>
    <d v="2025-08-04T00:00:00"/>
    <s v="CUST1067"/>
    <s v="PROD10"/>
    <x v="0"/>
    <n v="3"/>
    <n v="900.63"/>
    <n v="0.11"/>
    <s v="COD"/>
    <x v="1054"/>
  </r>
  <r>
    <s v="SALE1058"/>
    <d v="2024-12-03T00:00:00"/>
    <s v="CUST1442"/>
    <s v="PROD46"/>
    <x v="2"/>
    <n v="1"/>
    <n v="681.72"/>
    <n v="0.11"/>
    <s v="PayPal"/>
    <x v="1055"/>
  </r>
  <r>
    <s v="SALE1059"/>
    <d v="2023-10-23T00:00:00"/>
    <s v="CUST1009"/>
    <s v="PROD78"/>
    <x v="13"/>
    <n v="2"/>
    <n v="838.22"/>
    <n v="0.3"/>
    <s v="Credit Card"/>
    <x v="1056"/>
  </r>
  <r>
    <s v="SALE1060"/>
    <d v="2025-05-20T00:00:00"/>
    <s v="CUST1194"/>
    <s v="PROD87"/>
    <x v="18"/>
    <n v="2"/>
    <n v="816.22"/>
    <n v="0.27"/>
    <s v="Credit Card"/>
    <x v="1057"/>
  </r>
  <r>
    <s v="SALE1061"/>
    <d v="2024-09-19T00:00:00"/>
    <s v="CUST1380"/>
    <s v="PROD61"/>
    <x v="4"/>
    <n v="2"/>
    <n v="654.12"/>
    <n v="0.27"/>
    <s v="PayPal"/>
    <x v="1058"/>
  </r>
  <r>
    <s v="SALE1062"/>
    <d v="2024-04-03T00:00:00"/>
    <s v="CUST1105"/>
    <s v="PROD73"/>
    <x v="13"/>
    <n v="4"/>
    <n v="528.22"/>
    <n v="0.2"/>
    <s v="PayPal"/>
    <x v="1059"/>
  </r>
  <r>
    <s v="SALE1063"/>
    <d v="2025-02-16T00:00:00"/>
    <s v="CUST1221"/>
    <s v="PROD34"/>
    <x v="4"/>
    <n v="4"/>
    <n v="36.72"/>
    <n v="7.0000000000000007E-2"/>
    <s v="COD"/>
    <x v="1060"/>
  </r>
  <r>
    <s v="SALE1064"/>
    <d v="2024-09-10T00:00:00"/>
    <s v="CUST1370"/>
    <s v="PROD78"/>
    <x v="12"/>
    <n v="2"/>
    <n v="705.97"/>
    <n v="0.1"/>
    <s v="PayPal"/>
    <x v="1061"/>
  </r>
  <r>
    <s v="SALE1065"/>
    <d v="2025-03-20T00:00:00"/>
    <s v="CUST1023"/>
    <s v="PROD40"/>
    <x v="8"/>
    <n v="2"/>
    <n v="994.29"/>
    <n v="0.01"/>
    <s v="PayPal"/>
    <x v="1062"/>
  </r>
  <r>
    <s v="SALE1066"/>
    <d v="2024-11-12T00:00:00"/>
    <s v="CUST1421"/>
    <s v="PROD92"/>
    <x v="14"/>
    <n v="1"/>
    <n v="909.04"/>
    <n v="0.11"/>
    <s v="Credit Card"/>
    <x v="1063"/>
  </r>
  <r>
    <s v="SALE1067"/>
    <d v="2024-02-12T00:00:00"/>
    <s v="CUST1349"/>
    <s v="PROD34"/>
    <x v="19"/>
    <n v="1"/>
    <n v="164.73"/>
    <n v="0.12"/>
    <s v="PayPal"/>
    <x v="1064"/>
  </r>
  <r>
    <s v="SALE1068"/>
    <d v="2025-02-02T00:00:00"/>
    <s v="CUST1062"/>
    <s v="PROD37"/>
    <x v="4"/>
    <n v="2"/>
    <n v="606.35"/>
    <n v="0.16"/>
    <s v="COD"/>
    <x v="1065"/>
  </r>
  <r>
    <s v="SALE1069"/>
    <d v="2024-07-08T00:00:00"/>
    <s v="CUST1163"/>
    <s v="PROD98"/>
    <x v="5"/>
    <n v="3"/>
    <n v="904.19"/>
    <n v="0.09"/>
    <s v="Credit Card"/>
    <x v="1066"/>
  </r>
  <r>
    <s v="SALE1070"/>
    <d v="2024-10-11T00:00:00"/>
    <s v="CUST1151"/>
    <s v="PROD50"/>
    <x v="17"/>
    <n v="4"/>
    <n v="694.61"/>
    <n v="0.18"/>
    <s v="COD"/>
    <x v="1067"/>
  </r>
  <r>
    <s v="SALE1071"/>
    <d v="2023-10-16T00:00:00"/>
    <s v="CUST1225"/>
    <s v="PROD89"/>
    <x v="17"/>
    <n v="4"/>
    <n v="753.83"/>
    <n v="0.24"/>
    <s v="Credit Card"/>
    <x v="1068"/>
  </r>
  <r>
    <s v="SALE1072"/>
    <d v="2024-12-27T00:00:00"/>
    <s v="CUST1197"/>
    <s v="PROD21"/>
    <x v="2"/>
    <n v="1"/>
    <n v="66.22"/>
    <n v="0.02"/>
    <s v="Credit Card"/>
    <x v="1069"/>
  </r>
  <r>
    <s v="SALE1073"/>
    <d v="2023-11-11T00:00:00"/>
    <s v="CUST1337"/>
    <s v="PROD64"/>
    <x v="7"/>
    <n v="2"/>
    <n v="891.8"/>
    <n v="0.28999999999999998"/>
    <s v="COD"/>
    <x v="1070"/>
  </r>
  <r>
    <s v="SALE1074"/>
    <d v="2024-05-16T00:00:00"/>
    <s v="CUST1363"/>
    <s v="PROD75"/>
    <x v="11"/>
    <n v="4"/>
    <n v="255.48"/>
    <n v="0.03"/>
    <s v="COD"/>
    <x v="1071"/>
  </r>
  <r>
    <s v="SALE1075"/>
    <d v="2024-10-28T00:00:00"/>
    <s v="CUST1301"/>
    <s v="PROD84"/>
    <x v="1"/>
    <n v="4"/>
    <n v="604.87"/>
    <n v="0.28000000000000003"/>
    <s v="PayPal"/>
    <x v="1072"/>
  </r>
  <r>
    <s v="SALE1076"/>
    <d v="2024-03-19T00:00:00"/>
    <s v="CUST1045"/>
    <s v="PROD33"/>
    <x v="1"/>
    <n v="3"/>
    <n v="623.82000000000005"/>
    <n v="0.13"/>
    <s v="COD"/>
    <x v="1073"/>
  </r>
  <r>
    <s v="SALE1077"/>
    <d v="2025-08-13T00:00:00"/>
    <s v="CUST1138"/>
    <s v="PROD71"/>
    <x v="9"/>
    <n v="3"/>
    <n v="575.24"/>
    <n v="0.12"/>
    <s v="COD"/>
    <x v="1074"/>
  </r>
  <r>
    <s v="SALE1078"/>
    <d v="2025-08-09T00:00:00"/>
    <s v="CUST1414"/>
    <s v="PROD4"/>
    <x v="19"/>
    <n v="1"/>
    <n v="769.4"/>
    <n v="0.16"/>
    <s v="Credit Card"/>
    <x v="1075"/>
  </r>
  <r>
    <s v="SALE1079"/>
    <d v="2024-05-08T00:00:00"/>
    <s v="CUST1329"/>
    <s v="PROD4"/>
    <x v="1"/>
    <n v="1"/>
    <n v="227.28"/>
    <n v="0.13"/>
    <s v="COD"/>
    <x v="1076"/>
  </r>
  <r>
    <s v="SALE1080"/>
    <d v="2024-03-10T00:00:00"/>
    <s v="CUST1051"/>
    <s v="PROD2"/>
    <x v="1"/>
    <n v="4"/>
    <n v="127.58"/>
    <n v="0.15"/>
    <s v="Credit Card"/>
    <x v="1077"/>
  </r>
  <r>
    <s v="SALE1081"/>
    <d v="2025-02-14T00:00:00"/>
    <s v="CUST1418"/>
    <s v="PROD44"/>
    <x v="0"/>
    <n v="1"/>
    <n v="793.21"/>
    <n v="0.09"/>
    <s v="Credit Card"/>
    <x v="1078"/>
  </r>
  <r>
    <s v="SALE1082"/>
    <d v="2025-08-02T00:00:00"/>
    <s v="CUST1301"/>
    <s v="PROD83"/>
    <x v="18"/>
    <n v="3"/>
    <n v="435.61"/>
    <n v="0.03"/>
    <s v="PayPal"/>
    <x v="1079"/>
  </r>
  <r>
    <s v="SALE1083"/>
    <d v="2024-08-27T00:00:00"/>
    <s v="CUST1385"/>
    <s v="PROD29"/>
    <x v="9"/>
    <n v="1"/>
    <n v="850.06"/>
    <n v="0.28999999999999998"/>
    <s v="PayPal"/>
    <x v="1080"/>
  </r>
  <r>
    <s v="SALE1084"/>
    <d v="2024-02-08T00:00:00"/>
    <s v="CUST1347"/>
    <s v="PROD16"/>
    <x v="9"/>
    <n v="2"/>
    <n v="753.92"/>
    <n v="0.17"/>
    <s v="PayPal"/>
    <x v="1081"/>
  </r>
  <r>
    <s v="SALE1085"/>
    <d v="2024-01-20T00:00:00"/>
    <s v="CUST1488"/>
    <s v="PROD4"/>
    <x v="13"/>
    <n v="3"/>
    <n v="408.99"/>
    <n v="0.27"/>
    <s v="PayPal"/>
    <x v="1082"/>
  </r>
  <r>
    <s v="SALE1086"/>
    <d v="2024-10-02T00:00:00"/>
    <s v="CUST1285"/>
    <s v="PROD57"/>
    <x v="3"/>
    <n v="3"/>
    <n v="404.5"/>
    <n v="0.22"/>
    <s v="PayPal"/>
    <x v="1083"/>
  </r>
  <r>
    <s v="SALE1087"/>
    <d v="2023-11-09T00:00:00"/>
    <s v="CUST1380"/>
    <s v="PROD39"/>
    <x v="0"/>
    <n v="3"/>
    <n v="717.81"/>
    <n v="0.17"/>
    <s v="COD"/>
    <x v="1084"/>
  </r>
  <r>
    <s v="SALE1088"/>
    <d v="2023-12-24T00:00:00"/>
    <s v="CUST1251"/>
    <s v="PROD84"/>
    <x v="8"/>
    <n v="3"/>
    <n v="204.77"/>
    <n v="0.14000000000000001"/>
    <s v="Credit Card"/>
    <x v="1085"/>
  </r>
  <r>
    <s v="SALE1089"/>
    <d v="2025-01-29T00:00:00"/>
    <s v="CUST1039"/>
    <s v="PROD48"/>
    <x v="14"/>
    <n v="4"/>
    <n v="106.23"/>
    <n v="0.28000000000000003"/>
    <s v="COD"/>
    <x v="1086"/>
  </r>
  <r>
    <s v="SALE1090"/>
    <d v="2025-06-16T00:00:00"/>
    <s v="CUST1325"/>
    <s v="PROD66"/>
    <x v="3"/>
    <n v="2"/>
    <n v="769.48"/>
    <n v="0.11"/>
    <s v="PayPal"/>
    <x v="1087"/>
  </r>
  <r>
    <s v="SALE1091"/>
    <d v="2025-07-29T00:00:00"/>
    <s v="CUST1255"/>
    <s v="PROD57"/>
    <x v="13"/>
    <n v="2"/>
    <n v="714.21"/>
    <n v="0.14000000000000001"/>
    <s v="Credit Card"/>
    <x v="1088"/>
  </r>
  <r>
    <s v="SALE1092"/>
    <d v="2024-10-13T00:00:00"/>
    <s v="CUST1271"/>
    <s v="PROD11"/>
    <x v="10"/>
    <n v="4"/>
    <n v="632.24"/>
    <n v="0.25"/>
    <s v="PayPal"/>
    <x v="1089"/>
  </r>
  <r>
    <s v="SALE1093"/>
    <d v="2024-10-10T00:00:00"/>
    <s v="CUST1161"/>
    <s v="PROD78"/>
    <x v="0"/>
    <n v="2"/>
    <n v="845.27"/>
    <n v="0.18"/>
    <s v="PayPal"/>
    <x v="1090"/>
  </r>
  <r>
    <s v="SALE1094"/>
    <d v="2025-06-08T00:00:00"/>
    <s v="CUST1497"/>
    <s v="PROD87"/>
    <x v="13"/>
    <n v="1"/>
    <n v="575.94000000000005"/>
    <n v="0.17"/>
    <s v="Credit Card"/>
    <x v="1091"/>
  </r>
  <r>
    <s v="SALE1095"/>
    <d v="2024-11-24T00:00:00"/>
    <s v="CUST1251"/>
    <s v="PROD84"/>
    <x v="10"/>
    <n v="1"/>
    <n v="907.97"/>
    <n v="0.26"/>
    <s v="COD"/>
    <x v="1092"/>
  </r>
  <r>
    <s v="SALE1096"/>
    <d v="2025-02-07T00:00:00"/>
    <s v="CUST1266"/>
    <s v="PROD20"/>
    <x v="18"/>
    <n v="1"/>
    <n v="99.35"/>
    <n v="0.08"/>
    <s v="COD"/>
    <x v="1093"/>
  </r>
  <r>
    <s v="SALE1097"/>
    <d v="2024-10-31T00:00:00"/>
    <s v="CUST1071"/>
    <s v="PROD0"/>
    <x v="0"/>
    <n v="2"/>
    <n v="374.42"/>
    <n v="0.21"/>
    <s v="COD"/>
    <x v="1094"/>
  </r>
  <r>
    <s v="SALE1098"/>
    <d v="2025-07-31T00:00:00"/>
    <s v="CUST1481"/>
    <s v="PROD15"/>
    <x v="10"/>
    <n v="3"/>
    <n v="248.43"/>
    <n v="0.24"/>
    <s v="COD"/>
    <x v="1095"/>
  </r>
  <r>
    <s v="SALE1099"/>
    <d v="2024-12-05T00:00:00"/>
    <s v="CUST1468"/>
    <s v="PROD85"/>
    <x v="8"/>
    <n v="1"/>
    <n v="784.46"/>
    <n v="0.14000000000000001"/>
    <s v="COD"/>
    <x v="1096"/>
  </r>
  <r>
    <s v="SALE1100"/>
    <d v="2024-03-28T00:00:00"/>
    <s v="CUST1259"/>
    <s v="PROD52"/>
    <x v="15"/>
    <n v="3"/>
    <n v="70.88"/>
    <n v="0.27"/>
    <s v="COD"/>
    <x v="1097"/>
  </r>
  <r>
    <s v="SALE1101"/>
    <d v="2024-12-15T00:00:00"/>
    <s v="CUST1110"/>
    <s v="PROD8"/>
    <x v="8"/>
    <n v="3"/>
    <n v="324.29000000000002"/>
    <n v="0.16"/>
    <s v="COD"/>
    <x v="1098"/>
  </r>
  <r>
    <s v="SALE1102"/>
    <d v="2025-07-04T00:00:00"/>
    <s v="CUST1141"/>
    <s v="PROD15"/>
    <x v="0"/>
    <n v="4"/>
    <n v="243.92"/>
    <n v="0.02"/>
    <s v="PayPal"/>
    <x v="1099"/>
  </r>
  <r>
    <s v="SALE1103"/>
    <d v="2023-11-27T00:00:00"/>
    <s v="CUST1375"/>
    <s v="PROD28"/>
    <x v="13"/>
    <n v="1"/>
    <n v="664.35"/>
    <n v="0"/>
    <s v="Credit Card"/>
    <x v="1100"/>
  </r>
  <r>
    <s v="SALE1104"/>
    <d v="2024-06-25T00:00:00"/>
    <s v="CUST1384"/>
    <s v="PROD21"/>
    <x v="15"/>
    <n v="2"/>
    <n v="218.07"/>
    <n v="0.19"/>
    <s v="PayPal"/>
    <x v="1101"/>
  </r>
  <r>
    <s v="SALE1105"/>
    <d v="2023-10-29T00:00:00"/>
    <s v="CUST1383"/>
    <s v="PROD15"/>
    <x v="0"/>
    <n v="4"/>
    <n v="921.83"/>
    <n v="0.27"/>
    <s v="Credit Card"/>
    <x v="1102"/>
  </r>
  <r>
    <s v="SALE1106"/>
    <d v="2025-01-04T00:00:00"/>
    <s v="CUST1168"/>
    <s v="PROD50"/>
    <x v="8"/>
    <n v="3"/>
    <n v="326.2"/>
    <n v="0.22"/>
    <s v="COD"/>
    <x v="1103"/>
  </r>
  <r>
    <s v="SALE1107"/>
    <d v="2025-02-13T00:00:00"/>
    <s v="CUST1458"/>
    <s v="PROD17"/>
    <x v="12"/>
    <n v="1"/>
    <n v="244.25"/>
    <n v="0.09"/>
    <s v="PayPal"/>
    <x v="1104"/>
  </r>
  <r>
    <s v="SALE1108"/>
    <d v="2024-06-05T00:00:00"/>
    <s v="CUST1369"/>
    <s v="PROD61"/>
    <x v="15"/>
    <n v="3"/>
    <n v="808.87"/>
    <n v="0.12"/>
    <s v="COD"/>
    <x v="1105"/>
  </r>
  <r>
    <s v="SALE1109"/>
    <d v="2024-04-05T00:00:00"/>
    <s v="CUST1338"/>
    <s v="PROD31"/>
    <x v="17"/>
    <n v="3"/>
    <n v="826.15"/>
    <n v="0"/>
    <s v="PayPal"/>
    <x v="1106"/>
  </r>
  <r>
    <s v="SALE1110"/>
    <d v="2024-12-26T00:00:00"/>
    <s v="CUST1187"/>
    <s v="PROD24"/>
    <x v="12"/>
    <n v="3"/>
    <n v="631.20000000000005"/>
    <n v="0.24"/>
    <s v="Credit Card"/>
    <x v="1107"/>
  </r>
  <r>
    <s v="SALE1111"/>
    <d v="2024-01-25T00:00:00"/>
    <s v="CUST1274"/>
    <s v="PROD58"/>
    <x v="15"/>
    <n v="1"/>
    <n v="937.01"/>
    <n v="7.0000000000000007E-2"/>
    <s v="Credit Card"/>
    <x v="1108"/>
  </r>
  <r>
    <s v="SALE1112"/>
    <d v="2024-01-25T00:00:00"/>
    <s v="CUST1151"/>
    <s v="PROD73"/>
    <x v="3"/>
    <n v="2"/>
    <n v="644"/>
    <n v="0.04"/>
    <s v="PayPal"/>
    <x v="1109"/>
  </r>
  <r>
    <s v="SALE1113"/>
    <d v="2025-08-19T00:00:00"/>
    <s v="CUST1094"/>
    <s v="PROD91"/>
    <x v="3"/>
    <n v="3"/>
    <n v="629.58000000000004"/>
    <n v="0.05"/>
    <s v="Credit Card"/>
    <x v="1110"/>
  </r>
  <r>
    <s v="SALE1114"/>
    <d v="2025-05-14T00:00:00"/>
    <s v="CUST1466"/>
    <s v="PROD87"/>
    <x v="17"/>
    <n v="2"/>
    <n v="121.52"/>
    <n v="0.18"/>
    <s v="COD"/>
    <x v="1111"/>
  </r>
  <r>
    <s v="SALE1115"/>
    <d v="2024-05-08T00:00:00"/>
    <s v="CUST1401"/>
    <s v="PROD65"/>
    <x v="12"/>
    <n v="2"/>
    <n v="549.83000000000004"/>
    <n v="7.0000000000000007E-2"/>
    <s v="PayPal"/>
    <x v="1112"/>
  </r>
  <r>
    <s v="SALE1116"/>
    <d v="2023-10-20T00:00:00"/>
    <s v="CUST1140"/>
    <s v="PROD13"/>
    <x v="2"/>
    <n v="3"/>
    <n v="278.38"/>
    <n v="0.03"/>
    <s v="Credit Card"/>
    <x v="1113"/>
  </r>
  <r>
    <s v="SALE1117"/>
    <d v="2024-08-06T00:00:00"/>
    <s v="CUST1437"/>
    <s v="PROD96"/>
    <x v="0"/>
    <n v="4"/>
    <n v="723.66"/>
    <n v="0.03"/>
    <s v="PayPal"/>
    <x v="1114"/>
  </r>
  <r>
    <s v="SALE1118"/>
    <d v="2025-01-30T00:00:00"/>
    <s v="CUST1205"/>
    <s v="PROD72"/>
    <x v="11"/>
    <n v="1"/>
    <n v="724.74"/>
    <n v="0.15"/>
    <s v="PayPal"/>
    <x v="1115"/>
  </r>
  <r>
    <s v="SALE1119"/>
    <d v="2023-12-11T00:00:00"/>
    <s v="CUST1455"/>
    <s v="PROD21"/>
    <x v="5"/>
    <n v="2"/>
    <n v="961.84"/>
    <n v="0.25"/>
    <s v="PayPal"/>
    <x v="1116"/>
  </r>
  <r>
    <s v="SALE1120"/>
    <d v="2024-06-03T00:00:00"/>
    <s v="CUST1020"/>
    <s v="PROD37"/>
    <x v="9"/>
    <n v="4"/>
    <n v="21.12"/>
    <n v="0.18"/>
    <s v="COD"/>
    <x v="1117"/>
  </r>
  <r>
    <s v="SALE1121"/>
    <d v="2024-10-14T00:00:00"/>
    <s v="CUST1319"/>
    <s v="PROD0"/>
    <x v="5"/>
    <n v="3"/>
    <n v="819.93"/>
    <n v="0.08"/>
    <s v="PayPal"/>
    <x v="1118"/>
  </r>
  <r>
    <s v="SALE1122"/>
    <d v="2025-03-09T00:00:00"/>
    <s v="CUST1294"/>
    <s v="PROD42"/>
    <x v="6"/>
    <n v="2"/>
    <n v="700.95"/>
    <n v="0.18"/>
    <s v="Credit Card"/>
    <x v="1119"/>
  </r>
  <r>
    <s v="SALE1123"/>
    <d v="2025-09-10T00:00:00"/>
    <s v="CUST1141"/>
    <s v="PROD17"/>
    <x v="7"/>
    <n v="2"/>
    <n v="456.38"/>
    <n v="0.12"/>
    <s v="Credit Card"/>
    <x v="1120"/>
  </r>
  <r>
    <s v="SALE1124"/>
    <d v="2024-06-04T00:00:00"/>
    <s v="CUST1361"/>
    <s v="PROD76"/>
    <x v="7"/>
    <n v="3"/>
    <n v="291.05"/>
    <n v="0.3"/>
    <s v="Credit Card"/>
    <x v="1121"/>
  </r>
  <r>
    <s v="SALE1125"/>
    <d v="2024-01-16T00:00:00"/>
    <s v="CUST1233"/>
    <s v="PROD95"/>
    <x v="10"/>
    <n v="2"/>
    <n v="463.52"/>
    <n v="0.27"/>
    <s v="PayPal"/>
    <x v="1122"/>
  </r>
  <r>
    <s v="SALE1126"/>
    <d v="2024-12-27T00:00:00"/>
    <s v="CUST1379"/>
    <s v="PROD0"/>
    <x v="1"/>
    <n v="3"/>
    <n v="241.64"/>
    <n v="0.28999999999999998"/>
    <s v="PayPal"/>
    <x v="1123"/>
  </r>
  <r>
    <s v="SALE1127"/>
    <d v="2025-06-09T00:00:00"/>
    <s v="CUST1483"/>
    <s v="PROD30"/>
    <x v="15"/>
    <n v="2"/>
    <n v="47.86"/>
    <n v="0.03"/>
    <s v="PayPal"/>
    <x v="1124"/>
  </r>
  <r>
    <s v="SALE1128"/>
    <d v="2024-08-05T00:00:00"/>
    <s v="CUST1344"/>
    <s v="PROD92"/>
    <x v="0"/>
    <n v="1"/>
    <n v="805.07"/>
    <n v="0.06"/>
    <s v="COD"/>
    <x v="1125"/>
  </r>
  <r>
    <s v="SALE1129"/>
    <d v="2025-04-06T00:00:00"/>
    <s v="CUST1373"/>
    <s v="PROD34"/>
    <x v="8"/>
    <n v="3"/>
    <n v="848.48"/>
    <n v="0"/>
    <s v="COD"/>
    <x v="1126"/>
  </r>
  <r>
    <s v="SALE1130"/>
    <d v="2024-08-08T00:00:00"/>
    <s v="CUST1244"/>
    <s v="PROD53"/>
    <x v="2"/>
    <n v="2"/>
    <n v="568.95000000000005"/>
    <n v="0.22"/>
    <s v="Credit Card"/>
    <x v="1127"/>
  </r>
  <r>
    <s v="SALE1131"/>
    <d v="2025-04-17T00:00:00"/>
    <s v="CUST1162"/>
    <s v="PROD53"/>
    <x v="19"/>
    <n v="3"/>
    <n v="269.83999999999997"/>
    <n v="0.05"/>
    <s v="PayPal"/>
    <x v="1128"/>
  </r>
  <r>
    <s v="SALE1132"/>
    <d v="2025-03-30T00:00:00"/>
    <s v="CUST1309"/>
    <s v="PROD62"/>
    <x v="13"/>
    <n v="4"/>
    <n v="267.36"/>
    <n v="0.27"/>
    <s v="PayPal"/>
    <x v="1129"/>
  </r>
  <r>
    <s v="SALE1133"/>
    <d v="2024-12-21T00:00:00"/>
    <s v="CUST1114"/>
    <s v="PROD37"/>
    <x v="8"/>
    <n v="1"/>
    <n v="438.41"/>
    <n v="0.09"/>
    <s v="Credit Card"/>
    <x v="1130"/>
  </r>
  <r>
    <s v="SALE1134"/>
    <d v="2024-05-31T00:00:00"/>
    <s v="CUST1164"/>
    <s v="PROD51"/>
    <x v="14"/>
    <n v="2"/>
    <n v="86.72"/>
    <n v="0.28000000000000003"/>
    <s v="COD"/>
    <x v="1131"/>
  </r>
  <r>
    <s v="SALE1135"/>
    <d v="2025-03-06T00:00:00"/>
    <s v="CUST1425"/>
    <s v="PROD89"/>
    <x v="16"/>
    <n v="4"/>
    <n v="630.21"/>
    <n v="0.14000000000000001"/>
    <s v="COD"/>
    <x v="1132"/>
  </r>
  <r>
    <s v="SALE1136"/>
    <d v="2024-10-10T00:00:00"/>
    <s v="CUST1359"/>
    <s v="PROD59"/>
    <x v="16"/>
    <n v="3"/>
    <n v="180.84"/>
    <n v="0.03"/>
    <s v="PayPal"/>
    <x v="1133"/>
  </r>
  <r>
    <s v="SALE1137"/>
    <d v="2024-05-29T00:00:00"/>
    <s v="CUST1004"/>
    <s v="PROD64"/>
    <x v="9"/>
    <n v="1"/>
    <n v="453.41"/>
    <n v="0.04"/>
    <s v="COD"/>
    <x v="1134"/>
  </r>
  <r>
    <s v="SALE1138"/>
    <d v="2025-10-10T00:00:00"/>
    <s v="CUST1024"/>
    <s v="PROD51"/>
    <x v="16"/>
    <n v="1"/>
    <n v="629.09"/>
    <n v="0.02"/>
    <s v="Credit Card"/>
    <x v="1135"/>
  </r>
  <r>
    <s v="SALE1139"/>
    <d v="2024-08-14T00:00:00"/>
    <s v="CUST1022"/>
    <s v="PROD77"/>
    <x v="17"/>
    <n v="2"/>
    <n v="257.45"/>
    <n v="0"/>
    <s v="COD"/>
    <x v="1136"/>
  </r>
  <r>
    <s v="SALE1140"/>
    <d v="2025-07-23T00:00:00"/>
    <s v="CUST1179"/>
    <s v="PROD34"/>
    <x v="10"/>
    <n v="2"/>
    <n v="696.61"/>
    <n v="0.17"/>
    <s v="PayPal"/>
    <x v="1137"/>
  </r>
  <r>
    <s v="SALE1141"/>
    <d v="2024-05-04T00:00:00"/>
    <s v="CUST1373"/>
    <s v="PROD46"/>
    <x v="4"/>
    <n v="2"/>
    <n v="143.79"/>
    <n v="0.1"/>
    <s v="PayPal"/>
    <x v="1138"/>
  </r>
  <r>
    <s v="SALE1142"/>
    <d v="2024-11-12T00:00:00"/>
    <s v="CUST1296"/>
    <s v="PROD83"/>
    <x v="8"/>
    <n v="3"/>
    <n v="460.93"/>
    <n v="0.19"/>
    <s v="COD"/>
    <x v="1139"/>
  </r>
  <r>
    <s v="SALE1143"/>
    <d v="2024-01-10T00:00:00"/>
    <s v="CUST1499"/>
    <s v="PROD28"/>
    <x v="11"/>
    <n v="2"/>
    <n v="67.55"/>
    <n v="0.03"/>
    <s v="Credit Card"/>
    <x v="1140"/>
  </r>
  <r>
    <s v="SALE1144"/>
    <d v="2024-05-21T00:00:00"/>
    <s v="CUST1210"/>
    <s v="PROD49"/>
    <x v="8"/>
    <n v="3"/>
    <n v="803.31"/>
    <n v="0.1"/>
    <s v="PayPal"/>
    <x v="1141"/>
  </r>
  <r>
    <s v="SALE1145"/>
    <d v="2025-06-13T00:00:00"/>
    <s v="CUST1432"/>
    <s v="PROD16"/>
    <x v="13"/>
    <n v="4"/>
    <n v="254.71"/>
    <n v="0.2"/>
    <s v="COD"/>
    <x v="1142"/>
  </r>
  <r>
    <s v="SALE1146"/>
    <d v="2024-08-04T00:00:00"/>
    <s v="CUST1051"/>
    <s v="PROD50"/>
    <x v="5"/>
    <n v="4"/>
    <n v="594.89"/>
    <n v="0.3"/>
    <s v="PayPal"/>
    <x v="1143"/>
  </r>
  <r>
    <s v="SALE1147"/>
    <d v="2025-07-16T00:00:00"/>
    <s v="CUST1219"/>
    <s v="PROD91"/>
    <x v="6"/>
    <n v="2"/>
    <n v="844.31"/>
    <n v="7.0000000000000007E-2"/>
    <s v="PayPal"/>
    <x v="1144"/>
  </r>
  <r>
    <s v="SALE1148"/>
    <d v="2024-10-04T00:00:00"/>
    <s v="CUST1134"/>
    <s v="PROD15"/>
    <x v="16"/>
    <n v="4"/>
    <n v="101.33"/>
    <n v="0"/>
    <s v="Credit Card"/>
    <x v="1145"/>
  </r>
  <r>
    <s v="SALE1149"/>
    <d v="2025-06-16T00:00:00"/>
    <s v="CUST1131"/>
    <s v="PROD26"/>
    <x v="2"/>
    <n v="3"/>
    <n v="922.56"/>
    <n v="0.18"/>
    <s v="PayPal"/>
    <x v="1146"/>
  </r>
  <r>
    <s v="SALE1150"/>
    <d v="2024-03-01T00:00:00"/>
    <s v="CUST1432"/>
    <s v="PROD38"/>
    <x v="7"/>
    <n v="4"/>
    <n v="867.19"/>
    <n v="7.0000000000000007E-2"/>
    <s v="COD"/>
    <x v="1147"/>
  </r>
  <r>
    <s v="SALE1151"/>
    <d v="2024-06-11T00:00:00"/>
    <s v="CUST1006"/>
    <s v="PROD83"/>
    <x v="1"/>
    <n v="3"/>
    <n v="816.87"/>
    <n v="0.14000000000000001"/>
    <s v="PayPal"/>
    <x v="1148"/>
  </r>
  <r>
    <s v="SALE1152"/>
    <d v="2025-09-24T00:00:00"/>
    <s v="CUST1480"/>
    <s v="PROD65"/>
    <x v="0"/>
    <n v="3"/>
    <n v="258.06"/>
    <n v="0"/>
    <s v="PayPal"/>
    <x v="1149"/>
  </r>
  <r>
    <s v="SALE1153"/>
    <d v="2025-02-06T00:00:00"/>
    <s v="CUST1312"/>
    <s v="PROD38"/>
    <x v="7"/>
    <n v="2"/>
    <n v="574.58000000000004"/>
    <n v="0.06"/>
    <s v="Credit Card"/>
    <x v="1150"/>
  </r>
  <r>
    <s v="SALE1154"/>
    <d v="2024-10-22T00:00:00"/>
    <s v="CUST1022"/>
    <s v="PROD83"/>
    <x v="16"/>
    <n v="2"/>
    <n v="472.18"/>
    <n v="0.27"/>
    <s v="PayPal"/>
    <x v="1151"/>
  </r>
  <r>
    <s v="SALE1155"/>
    <d v="2024-09-21T00:00:00"/>
    <s v="CUST1340"/>
    <s v="PROD41"/>
    <x v="3"/>
    <n v="2"/>
    <n v="20.47"/>
    <n v="0.12"/>
    <s v="COD"/>
    <x v="1152"/>
  </r>
  <r>
    <s v="SALE1156"/>
    <d v="2025-09-23T00:00:00"/>
    <s v="CUST1023"/>
    <s v="PROD22"/>
    <x v="4"/>
    <n v="3"/>
    <n v="235.41"/>
    <n v="0.15"/>
    <s v="PayPal"/>
    <x v="1153"/>
  </r>
  <r>
    <s v="SALE1157"/>
    <d v="2025-06-03T00:00:00"/>
    <s v="CUST1230"/>
    <s v="PROD78"/>
    <x v="4"/>
    <n v="3"/>
    <n v="744.9"/>
    <n v="0.27"/>
    <s v="PayPal"/>
    <x v="1154"/>
  </r>
  <r>
    <s v="SALE1158"/>
    <d v="2024-09-24T00:00:00"/>
    <s v="CUST1047"/>
    <s v="PROD18"/>
    <x v="0"/>
    <n v="2"/>
    <n v="382.2"/>
    <n v="0.15"/>
    <s v="Credit Card"/>
    <x v="1155"/>
  </r>
  <r>
    <s v="SALE1159"/>
    <d v="2025-08-12T00:00:00"/>
    <s v="CUST1346"/>
    <s v="PROD90"/>
    <x v="9"/>
    <n v="1"/>
    <n v="269.25"/>
    <n v="0.14000000000000001"/>
    <s v="PayPal"/>
    <x v="1156"/>
  </r>
  <r>
    <s v="SALE1160"/>
    <d v="2024-03-16T00:00:00"/>
    <s v="CUST1365"/>
    <s v="PROD30"/>
    <x v="19"/>
    <n v="2"/>
    <n v="723.75"/>
    <n v="0.03"/>
    <s v="PayPal"/>
    <x v="1157"/>
  </r>
  <r>
    <s v="SALE1161"/>
    <d v="2025-06-24T00:00:00"/>
    <s v="CUST1281"/>
    <s v="PROD19"/>
    <x v="12"/>
    <n v="4"/>
    <n v="58.92"/>
    <n v="0.18"/>
    <s v="Credit Card"/>
    <x v="1158"/>
  </r>
  <r>
    <s v="SALE1162"/>
    <d v="2024-05-26T00:00:00"/>
    <s v="CUST1188"/>
    <s v="PROD71"/>
    <x v="15"/>
    <n v="2"/>
    <n v="913.08"/>
    <n v="0.26"/>
    <s v="Credit Card"/>
    <x v="1159"/>
  </r>
  <r>
    <s v="SALE1163"/>
    <d v="2025-02-03T00:00:00"/>
    <s v="CUST1242"/>
    <s v="PROD81"/>
    <x v="8"/>
    <n v="1"/>
    <n v="791.83"/>
    <n v="0.28000000000000003"/>
    <s v="PayPal"/>
    <x v="1160"/>
  </r>
  <r>
    <s v="SALE1164"/>
    <d v="2024-08-02T00:00:00"/>
    <s v="CUST1471"/>
    <s v="PROD3"/>
    <x v="10"/>
    <n v="1"/>
    <n v="74.290000000000006"/>
    <n v="0.3"/>
    <s v="COD"/>
    <x v="1161"/>
  </r>
  <r>
    <s v="SALE1165"/>
    <d v="2023-11-21T00:00:00"/>
    <s v="CUST1243"/>
    <s v="PROD35"/>
    <x v="6"/>
    <n v="2"/>
    <n v="961.68"/>
    <n v="0.27"/>
    <s v="PayPal"/>
    <x v="1162"/>
  </r>
  <r>
    <s v="SALE1166"/>
    <d v="2025-03-06T00:00:00"/>
    <s v="CUST1494"/>
    <s v="PROD19"/>
    <x v="7"/>
    <n v="1"/>
    <n v="90.72"/>
    <n v="0.1"/>
    <s v="PayPal"/>
    <x v="1163"/>
  </r>
  <r>
    <s v="SALE1167"/>
    <d v="2025-02-01T00:00:00"/>
    <s v="CUST1060"/>
    <s v="PROD58"/>
    <x v="4"/>
    <n v="1"/>
    <n v="458.69"/>
    <n v="0.16"/>
    <s v="PayPal"/>
    <x v="1164"/>
  </r>
  <r>
    <s v="SALE1168"/>
    <d v="2024-02-24T00:00:00"/>
    <s v="CUST1231"/>
    <s v="PROD34"/>
    <x v="4"/>
    <n v="1"/>
    <n v="168.29"/>
    <n v="0.05"/>
    <s v="PayPal"/>
    <x v="1165"/>
  </r>
  <r>
    <s v="SALE1169"/>
    <d v="2024-09-14T00:00:00"/>
    <s v="CUST1211"/>
    <s v="PROD17"/>
    <x v="1"/>
    <n v="1"/>
    <n v="391.77"/>
    <n v="0.1"/>
    <s v="PayPal"/>
    <x v="1166"/>
  </r>
  <r>
    <s v="SALE1170"/>
    <d v="2025-08-31T00:00:00"/>
    <s v="CUST1343"/>
    <s v="PROD12"/>
    <x v="7"/>
    <n v="1"/>
    <n v="424.83"/>
    <n v="0.05"/>
    <s v="COD"/>
    <x v="1167"/>
  </r>
  <r>
    <s v="SALE1171"/>
    <d v="2024-01-17T00:00:00"/>
    <s v="CUST1053"/>
    <s v="PROD11"/>
    <x v="0"/>
    <n v="1"/>
    <n v="499.46"/>
    <n v="0.1"/>
    <s v="Credit Card"/>
    <x v="1168"/>
  </r>
  <r>
    <s v="SALE1172"/>
    <d v="2024-02-14T00:00:00"/>
    <s v="CUST1019"/>
    <s v="PROD99"/>
    <x v="8"/>
    <n v="2"/>
    <n v="698.34"/>
    <n v="0.15"/>
    <s v="PayPal"/>
    <x v="1169"/>
  </r>
  <r>
    <s v="SALE1173"/>
    <d v="2023-10-14T00:00:00"/>
    <s v="CUST1283"/>
    <s v="PROD56"/>
    <x v="9"/>
    <n v="2"/>
    <n v="805.08"/>
    <n v="0.27"/>
    <s v="PayPal"/>
    <x v="1170"/>
  </r>
  <r>
    <s v="SALE1174"/>
    <d v="2025-03-26T00:00:00"/>
    <s v="CUST1466"/>
    <s v="PROD76"/>
    <x v="17"/>
    <n v="4"/>
    <n v="934.79"/>
    <n v="0.08"/>
    <s v="PayPal"/>
    <x v="1171"/>
  </r>
  <r>
    <s v="SALE1175"/>
    <d v="2025-10-02T00:00:00"/>
    <s v="CUST1019"/>
    <s v="PROD60"/>
    <x v="8"/>
    <n v="2"/>
    <n v="424.54"/>
    <n v="0.24"/>
    <s v="PayPal"/>
    <x v="1172"/>
  </r>
  <r>
    <s v="SALE1176"/>
    <d v="2024-06-19T00:00:00"/>
    <s v="CUST1327"/>
    <s v="PROD84"/>
    <x v="1"/>
    <n v="1"/>
    <n v="235.44"/>
    <n v="0.19"/>
    <s v="COD"/>
    <x v="1173"/>
  </r>
  <r>
    <s v="SALE1177"/>
    <d v="2024-10-03T00:00:00"/>
    <s v="CUST1271"/>
    <s v="PROD49"/>
    <x v="13"/>
    <n v="2"/>
    <n v="620.71"/>
    <n v="0.27"/>
    <s v="Credit Card"/>
    <x v="1174"/>
  </r>
  <r>
    <s v="SALE1178"/>
    <d v="2024-04-15T00:00:00"/>
    <s v="CUST1115"/>
    <s v="PROD16"/>
    <x v="19"/>
    <n v="2"/>
    <n v="851.77"/>
    <n v="0.13"/>
    <s v="PayPal"/>
    <x v="1175"/>
  </r>
  <r>
    <s v="SALE1179"/>
    <d v="2024-10-04T00:00:00"/>
    <s v="CUST1168"/>
    <s v="PROD45"/>
    <x v="8"/>
    <n v="3"/>
    <n v="876.01"/>
    <n v="0.2"/>
    <s v="Credit Card"/>
    <x v="1176"/>
  </r>
  <r>
    <s v="SALE1180"/>
    <d v="2024-03-02T00:00:00"/>
    <s v="CUST1276"/>
    <s v="PROD27"/>
    <x v="11"/>
    <n v="2"/>
    <n v="717.21"/>
    <n v="0.15"/>
    <s v="COD"/>
    <x v="1177"/>
  </r>
  <r>
    <s v="SALE1181"/>
    <d v="2024-02-21T00:00:00"/>
    <s v="CUST1056"/>
    <s v="PROD41"/>
    <x v="2"/>
    <n v="2"/>
    <n v="871.43"/>
    <n v="0.05"/>
    <s v="Credit Card"/>
    <x v="1178"/>
  </r>
  <r>
    <s v="SALE1182"/>
    <d v="2024-01-30T00:00:00"/>
    <s v="CUST1453"/>
    <s v="PROD36"/>
    <x v="4"/>
    <n v="1"/>
    <n v="514.65"/>
    <n v="0.18"/>
    <s v="Credit Card"/>
    <x v="1179"/>
  </r>
  <r>
    <s v="SALE1183"/>
    <d v="2024-12-24T00:00:00"/>
    <s v="CUST1459"/>
    <s v="PROD62"/>
    <x v="9"/>
    <n v="3"/>
    <n v="198.76"/>
    <n v="0.28000000000000003"/>
    <s v="COD"/>
    <x v="1180"/>
  </r>
  <r>
    <s v="SALE1184"/>
    <d v="2025-06-03T00:00:00"/>
    <s v="CUST1225"/>
    <s v="PROD63"/>
    <x v="0"/>
    <n v="2"/>
    <n v="975.72"/>
    <n v="0.16"/>
    <s v="COD"/>
    <x v="1181"/>
  </r>
  <r>
    <s v="SALE1185"/>
    <d v="2024-08-01T00:00:00"/>
    <s v="CUST1420"/>
    <s v="PROD15"/>
    <x v="8"/>
    <n v="1"/>
    <n v="86.03"/>
    <n v="0.01"/>
    <s v="Credit Card"/>
    <x v="1182"/>
  </r>
  <r>
    <s v="SALE1186"/>
    <d v="2025-08-28T00:00:00"/>
    <s v="CUST1087"/>
    <s v="PROD54"/>
    <x v="18"/>
    <n v="4"/>
    <n v="705.12"/>
    <n v="0.15"/>
    <s v="PayPal"/>
    <x v="1183"/>
  </r>
  <r>
    <s v="SALE1187"/>
    <d v="2024-11-06T00:00:00"/>
    <s v="CUST1371"/>
    <s v="PROD18"/>
    <x v="18"/>
    <n v="3"/>
    <n v="99.77"/>
    <n v="0.01"/>
    <s v="PayPal"/>
    <x v="1184"/>
  </r>
  <r>
    <s v="SALE1188"/>
    <d v="2024-08-26T00:00:00"/>
    <s v="CUST1209"/>
    <s v="PROD34"/>
    <x v="11"/>
    <n v="2"/>
    <n v="166.26"/>
    <n v="0.14000000000000001"/>
    <s v="PayPal"/>
    <x v="1185"/>
  </r>
  <r>
    <s v="SALE1189"/>
    <d v="2025-03-13T00:00:00"/>
    <s v="CUST1459"/>
    <s v="PROD26"/>
    <x v="3"/>
    <n v="1"/>
    <n v="429.25"/>
    <n v="0.28999999999999998"/>
    <s v="Credit Card"/>
    <x v="1186"/>
  </r>
  <r>
    <s v="SALE1190"/>
    <d v="2024-06-25T00:00:00"/>
    <s v="CUST1443"/>
    <s v="PROD0"/>
    <x v="11"/>
    <n v="2"/>
    <n v="540.48"/>
    <n v="0.28999999999999998"/>
    <s v="Credit Card"/>
    <x v="1187"/>
  </r>
  <r>
    <s v="SALE1191"/>
    <d v="2025-10-06T00:00:00"/>
    <s v="CUST1269"/>
    <s v="PROD59"/>
    <x v="7"/>
    <n v="2"/>
    <n v="579.52"/>
    <n v="0.01"/>
    <s v="PayPal"/>
    <x v="1188"/>
  </r>
  <r>
    <s v="SALE1192"/>
    <d v="2024-11-26T00:00:00"/>
    <s v="CUST1026"/>
    <s v="PROD69"/>
    <x v="1"/>
    <n v="4"/>
    <n v="477.52"/>
    <n v="7.0000000000000007E-2"/>
    <s v="PayPal"/>
    <x v="1189"/>
  </r>
  <r>
    <s v="SALE1193"/>
    <d v="2025-02-17T00:00:00"/>
    <s v="CUST1259"/>
    <s v="PROD91"/>
    <x v="16"/>
    <n v="3"/>
    <n v="242.58"/>
    <n v="0.25"/>
    <s v="Credit Card"/>
    <x v="1190"/>
  </r>
  <r>
    <s v="SALE1194"/>
    <d v="2023-11-20T00:00:00"/>
    <s v="CUST1367"/>
    <s v="PROD26"/>
    <x v="1"/>
    <n v="2"/>
    <n v="519.29999999999995"/>
    <n v="0.09"/>
    <s v="PayPal"/>
    <x v="1191"/>
  </r>
  <r>
    <s v="SALE1195"/>
    <d v="2025-01-27T00:00:00"/>
    <s v="CUST1491"/>
    <s v="PROD94"/>
    <x v="19"/>
    <n v="3"/>
    <n v="845.67"/>
    <n v="0.12"/>
    <s v="COD"/>
    <x v="1192"/>
  </r>
  <r>
    <s v="SALE1196"/>
    <d v="2024-04-13T00:00:00"/>
    <s v="CUST1305"/>
    <s v="PROD55"/>
    <x v="9"/>
    <n v="4"/>
    <n v="750.26"/>
    <n v="0.01"/>
    <s v="PayPal"/>
    <x v="1193"/>
  </r>
  <r>
    <s v="SALE1197"/>
    <d v="2024-03-31T00:00:00"/>
    <s v="CUST1332"/>
    <s v="PROD92"/>
    <x v="18"/>
    <n v="4"/>
    <n v="294.38"/>
    <n v="0.2"/>
    <s v="Credit Card"/>
    <x v="1194"/>
  </r>
  <r>
    <s v="SALE1198"/>
    <d v="2025-09-19T00:00:00"/>
    <s v="CUST1097"/>
    <s v="PROD96"/>
    <x v="17"/>
    <n v="3"/>
    <n v="583.52"/>
    <n v="7.0000000000000007E-2"/>
    <s v="PayPal"/>
    <x v="1195"/>
  </r>
  <r>
    <s v="SALE1199"/>
    <d v="2024-06-10T00:00:00"/>
    <s v="CUST1470"/>
    <s v="PROD89"/>
    <x v="9"/>
    <n v="2"/>
    <n v="635.22"/>
    <n v="0.3"/>
    <s v="COD"/>
    <x v="1196"/>
  </r>
  <r>
    <s v="SALE1200"/>
    <d v="2024-01-22T00:00:00"/>
    <s v="CUST1428"/>
    <s v="PROD66"/>
    <x v="17"/>
    <n v="1"/>
    <n v="743.55"/>
    <n v="0.11"/>
    <s v="COD"/>
    <x v="1197"/>
  </r>
  <r>
    <s v="SALE1201"/>
    <d v="2024-03-26T00:00:00"/>
    <s v="CUST1101"/>
    <s v="PROD44"/>
    <x v="0"/>
    <n v="4"/>
    <n v="530.45000000000005"/>
    <n v="0.13"/>
    <s v="Credit Card"/>
    <x v="1198"/>
  </r>
  <r>
    <s v="SALE1202"/>
    <d v="2024-03-20T00:00:00"/>
    <s v="CUST1264"/>
    <s v="PROD66"/>
    <x v="11"/>
    <n v="2"/>
    <n v="972.4"/>
    <n v="0.06"/>
    <s v="COD"/>
    <x v="1199"/>
  </r>
  <r>
    <s v="SALE1203"/>
    <d v="2025-05-20T00:00:00"/>
    <s v="CUST1378"/>
    <s v="PROD15"/>
    <x v="14"/>
    <n v="3"/>
    <n v="197.93"/>
    <n v="0"/>
    <s v="COD"/>
    <x v="1200"/>
  </r>
  <r>
    <s v="SALE1204"/>
    <d v="2024-10-10T00:00:00"/>
    <s v="CUST1342"/>
    <s v="PROD87"/>
    <x v="19"/>
    <n v="4"/>
    <n v="565.51"/>
    <n v="0.16"/>
    <s v="PayPal"/>
    <x v="1201"/>
  </r>
  <r>
    <s v="SALE1205"/>
    <d v="2024-10-01T00:00:00"/>
    <s v="CUST1400"/>
    <s v="PROD39"/>
    <x v="5"/>
    <n v="4"/>
    <n v="983.38"/>
    <n v="0.25"/>
    <s v="COD"/>
    <x v="1202"/>
  </r>
  <r>
    <s v="SALE1206"/>
    <d v="2023-11-22T00:00:00"/>
    <s v="CUST1234"/>
    <s v="PROD99"/>
    <x v="11"/>
    <n v="1"/>
    <n v="955.06"/>
    <n v="0.14000000000000001"/>
    <s v="Credit Card"/>
    <x v="1203"/>
  </r>
  <r>
    <s v="SALE1207"/>
    <d v="2025-02-05T00:00:00"/>
    <s v="CUST1352"/>
    <s v="PROD59"/>
    <x v="10"/>
    <n v="3"/>
    <n v="597.46"/>
    <n v="0.02"/>
    <s v="PayPal"/>
    <x v="1204"/>
  </r>
  <r>
    <s v="SALE1208"/>
    <d v="2024-06-03T00:00:00"/>
    <s v="CUST1317"/>
    <s v="PROD8"/>
    <x v="9"/>
    <n v="3"/>
    <n v="581.09"/>
    <n v="0.1"/>
    <s v="COD"/>
    <x v="1205"/>
  </r>
  <r>
    <s v="SALE1209"/>
    <d v="2025-07-24T00:00:00"/>
    <s v="CUST1054"/>
    <s v="PROD30"/>
    <x v="5"/>
    <n v="4"/>
    <n v="153.94999999999999"/>
    <n v="0.11"/>
    <s v="PayPal"/>
    <x v="1206"/>
  </r>
  <r>
    <s v="SALE1210"/>
    <d v="2024-08-26T00:00:00"/>
    <s v="CUST1081"/>
    <s v="PROD36"/>
    <x v="2"/>
    <n v="4"/>
    <n v="271.04000000000002"/>
    <n v="0.12"/>
    <s v="COD"/>
    <x v="1207"/>
  </r>
  <r>
    <s v="SALE1211"/>
    <d v="2024-09-23T00:00:00"/>
    <s v="CUST1015"/>
    <s v="PROD35"/>
    <x v="16"/>
    <n v="4"/>
    <n v="328.27"/>
    <n v="0.09"/>
    <s v="PayPal"/>
    <x v="1208"/>
  </r>
  <r>
    <s v="SALE1212"/>
    <d v="2024-06-29T00:00:00"/>
    <s v="CUST1494"/>
    <s v="PROD17"/>
    <x v="7"/>
    <n v="4"/>
    <n v="884.71"/>
    <n v="0.09"/>
    <s v="PayPal"/>
    <x v="1209"/>
  </r>
  <r>
    <s v="SALE1213"/>
    <d v="2025-06-01T00:00:00"/>
    <s v="CUST1249"/>
    <s v="PROD72"/>
    <x v="5"/>
    <n v="1"/>
    <n v="41.39"/>
    <n v="0.01"/>
    <s v="Credit Card"/>
    <x v="1210"/>
  </r>
  <r>
    <s v="SALE1214"/>
    <d v="2025-05-06T00:00:00"/>
    <s v="CUST1165"/>
    <s v="PROD57"/>
    <x v="11"/>
    <n v="4"/>
    <n v="64.06"/>
    <n v="0.26"/>
    <s v="Credit Card"/>
    <x v="1211"/>
  </r>
  <r>
    <s v="SALE1215"/>
    <d v="2025-07-11T00:00:00"/>
    <s v="CUST1346"/>
    <s v="PROD46"/>
    <x v="11"/>
    <n v="2"/>
    <n v="152.25"/>
    <n v="0.13"/>
    <s v="Credit Card"/>
    <x v="1212"/>
  </r>
  <r>
    <s v="SALE1216"/>
    <d v="2023-12-21T00:00:00"/>
    <s v="CUST1100"/>
    <s v="PROD13"/>
    <x v="12"/>
    <n v="2"/>
    <n v="889.04"/>
    <n v="0.23"/>
    <s v="Credit Card"/>
    <x v="1213"/>
  </r>
  <r>
    <s v="SALE1217"/>
    <d v="2024-01-31T00:00:00"/>
    <s v="CUST1161"/>
    <s v="PROD37"/>
    <x v="15"/>
    <n v="3"/>
    <n v="145.25"/>
    <n v="0.24"/>
    <s v="PayPal"/>
    <x v="1214"/>
  </r>
  <r>
    <s v="SALE1218"/>
    <d v="2024-09-25T00:00:00"/>
    <s v="CUST1056"/>
    <s v="PROD88"/>
    <x v="17"/>
    <n v="2"/>
    <n v="898.45"/>
    <n v="0.28999999999999998"/>
    <s v="COD"/>
    <x v="1215"/>
  </r>
  <r>
    <s v="SALE1219"/>
    <d v="2025-09-05T00:00:00"/>
    <s v="CUST1030"/>
    <s v="PROD35"/>
    <x v="10"/>
    <n v="4"/>
    <n v="642.04999999999995"/>
    <n v="0.25"/>
    <s v="Credit Card"/>
    <x v="1216"/>
  </r>
  <r>
    <s v="SALE1220"/>
    <d v="2024-08-27T00:00:00"/>
    <s v="CUST1313"/>
    <s v="PROD84"/>
    <x v="4"/>
    <n v="4"/>
    <n v="450.83"/>
    <n v="0.24"/>
    <s v="Credit Card"/>
    <x v="1217"/>
  </r>
  <r>
    <s v="SALE1221"/>
    <d v="2023-10-17T00:00:00"/>
    <s v="CUST1010"/>
    <s v="PROD52"/>
    <x v="12"/>
    <n v="2"/>
    <n v="441.03"/>
    <n v="0.23"/>
    <s v="COD"/>
    <x v="1218"/>
  </r>
  <r>
    <s v="SALE1222"/>
    <d v="2024-04-02T00:00:00"/>
    <s v="CUST1082"/>
    <s v="PROD25"/>
    <x v="17"/>
    <n v="3"/>
    <n v="377.69"/>
    <n v="7.0000000000000007E-2"/>
    <s v="PayPal"/>
    <x v="1219"/>
  </r>
  <r>
    <s v="SALE1223"/>
    <d v="2024-05-04T00:00:00"/>
    <s v="CUST1160"/>
    <s v="PROD10"/>
    <x v="4"/>
    <n v="1"/>
    <n v="457.33"/>
    <n v="0.27"/>
    <s v="Credit Card"/>
    <x v="1220"/>
  </r>
  <r>
    <s v="SALE1224"/>
    <d v="2025-08-11T00:00:00"/>
    <s v="CUST1244"/>
    <s v="PROD76"/>
    <x v="16"/>
    <n v="4"/>
    <n v="218.01"/>
    <n v="0.06"/>
    <s v="Credit Card"/>
    <x v="1221"/>
  </r>
  <r>
    <s v="SALE1225"/>
    <d v="2025-10-03T00:00:00"/>
    <s v="CUST1218"/>
    <s v="PROD92"/>
    <x v="14"/>
    <n v="2"/>
    <n v="682.7"/>
    <n v="0.13"/>
    <s v="Credit Card"/>
    <x v="1222"/>
  </r>
  <r>
    <s v="SALE1226"/>
    <d v="2024-02-23T00:00:00"/>
    <s v="CUST1323"/>
    <s v="PROD19"/>
    <x v="14"/>
    <n v="3"/>
    <n v="726.97"/>
    <n v="0.04"/>
    <s v="PayPal"/>
    <x v="1223"/>
  </r>
  <r>
    <s v="SALE1227"/>
    <d v="2025-01-24T00:00:00"/>
    <s v="CUST1408"/>
    <s v="PROD59"/>
    <x v="11"/>
    <n v="2"/>
    <n v="107.97"/>
    <n v="0.06"/>
    <s v="Credit Card"/>
    <x v="1224"/>
  </r>
  <r>
    <s v="SALE1228"/>
    <d v="2025-05-08T00:00:00"/>
    <s v="CUST1007"/>
    <s v="PROD5"/>
    <x v="7"/>
    <n v="1"/>
    <n v="38.880000000000003"/>
    <n v="0.16"/>
    <s v="COD"/>
    <x v="1225"/>
  </r>
  <r>
    <s v="SALE1229"/>
    <d v="2025-06-15T00:00:00"/>
    <s v="CUST1078"/>
    <s v="PROD16"/>
    <x v="1"/>
    <n v="3"/>
    <n v="484.39"/>
    <n v="0.28999999999999998"/>
    <s v="COD"/>
    <x v="1226"/>
  </r>
  <r>
    <s v="SALE1230"/>
    <d v="2024-10-07T00:00:00"/>
    <s v="CUST1018"/>
    <s v="PROD80"/>
    <x v="10"/>
    <n v="2"/>
    <n v="949.3"/>
    <n v="0.08"/>
    <s v="COD"/>
    <x v="1227"/>
  </r>
  <r>
    <s v="SALE1231"/>
    <d v="2023-11-29T00:00:00"/>
    <s v="CUST1433"/>
    <s v="PROD71"/>
    <x v="16"/>
    <n v="3"/>
    <n v="664.75"/>
    <n v="0.12"/>
    <s v="Credit Card"/>
    <x v="1228"/>
  </r>
  <r>
    <s v="SALE1232"/>
    <d v="2025-03-24T00:00:00"/>
    <s v="CUST1282"/>
    <s v="PROD70"/>
    <x v="1"/>
    <n v="3"/>
    <n v="190.04"/>
    <n v="7.0000000000000007E-2"/>
    <s v="PayPal"/>
    <x v="1229"/>
  </r>
  <r>
    <s v="SALE1233"/>
    <d v="2025-07-31T00:00:00"/>
    <s v="CUST1277"/>
    <s v="PROD7"/>
    <x v="10"/>
    <n v="3"/>
    <n v="754.02"/>
    <n v="0.1"/>
    <s v="COD"/>
    <x v="1230"/>
  </r>
  <r>
    <s v="SALE1234"/>
    <d v="2024-08-22T00:00:00"/>
    <s v="CUST1384"/>
    <s v="PROD34"/>
    <x v="18"/>
    <n v="4"/>
    <n v="94.13"/>
    <n v="0.04"/>
    <s v="COD"/>
    <x v="1231"/>
  </r>
  <r>
    <s v="SALE1235"/>
    <d v="2024-07-16T00:00:00"/>
    <s v="CUST1468"/>
    <s v="PROD1"/>
    <x v="10"/>
    <n v="3"/>
    <n v="402.3"/>
    <n v="0.21"/>
    <s v="PayPal"/>
    <x v="1232"/>
  </r>
  <r>
    <s v="SALE1236"/>
    <d v="2025-09-08T00:00:00"/>
    <s v="CUST1239"/>
    <s v="PROD86"/>
    <x v="4"/>
    <n v="1"/>
    <n v="729.05"/>
    <n v="0.06"/>
    <s v="COD"/>
    <x v="1233"/>
  </r>
  <r>
    <s v="SALE1237"/>
    <d v="2025-09-12T00:00:00"/>
    <s v="CUST1134"/>
    <s v="PROD90"/>
    <x v="13"/>
    <n v="1"/>
    <n v="822.6"/>
    <n v="0.28999999999999998"/>
    <s v="PayPal"/>
    <x v="1234"/>
  </r>
  <r>
    <s v="SALE1238"/>
    <d v="2025-04-24T00:00:00"/>
    <s v="CUST1193"/>
    <s v="PROD83"/>
    <x v="2"/>
    <n v="2"/>
    <n v="327.25"/>
    <n v="0.19"/>
    <s v="PayPal"/>
    <x v="1235"/>
  </r>
  <r>
    <s v="SALE1239"/>
    <d v="2024-11-23T00:00:00"/>
    <s v="CUST1084"/>
    <s v="PROD70"/>
    <x v="11"/>
    <n v="4"/>
    <n v="930.38"/>
    <n v="0"/>
    <s v="COD"/>
    <x v="1236"/>
  </r>
  <r>
    <s v="SALE1240"/>
    <d v="2024-04-12T00:00:00"/>
    <s v="CUST1144"/>
    <s v="PROD27"/>
    <x v="3"/>
    <n v="2"/>
    <n v="437.84"/>
    <n v="0.24"/>
    <s v="Credit Card"/>
    <x v="1237"/>
  </r>
  <r>
    <s v="SALE1241"/>
    <d v="2025-05-09T00:00:00"/>
    <s v="CUST1070"/>
    <s v="PROD16"/>
    <x v="9"/>
    <n v="2"/>
    <n v="126.02"/>
    <n v="0.09"/>
    <s v="COD"/>
    <x v="1238"/>
  </r>
  <r>
    <s v="SALE1242"/>
    <d v="2025-02-04T00:00:00"/>
    <s v="CUST1437"/>
    <s v="PROD83"/>
    <x v="10"/>
    <n v="1"/>
    <n v="860.84"/>
    <n v="7.0000000000000007E-2"/>
    <s v="PayPal"/>
    <x v="1239"/>
  </r>
  <r>
    <s v="SALE1243"/>
    <d v="2025-01-20T00:00:00"/>
    <s v="CUST1093"/>
    <s v="PROD48"/>
    <x v="13"/>
    <n v="1"/>
    <n v="161.80000000000001"/>
    <n v="0.24"/>
    <s v="PayPal"/>
    <x v="1240"/>
  </r>
  <r>
    <s v="SALE1244"/>
    <d v="2025-01-12T00:00:00"/>
    <s v="CUST1385"/>
    <s v="PROD38"/>
    <x v="1"/>
    <n v="4"/>
    <n v="347.82"/>
    <n v="0.02"/>
    <s v="COD"/>
    <x v="1241"/>
  </r>
  <r>
    <s v="SALE1245"/>
    <d v="2024-01-08T00:00:00"/>
    <s v="CUST1453"/>
    <s v="PROD85"/>
    <x v="9"/>
    <n v="3"/>
    <n v="416.44"/>
    <n v="0.27"/>
    <s v="Credit Card"/>
    <x v="1242"/>
  </r>
  <r>
    <s v="SALE1246"/>
    <d v="2025-08-24T00:00:00"/>
    <s v="CUST1005"/>
    <s v="PROD62"/>
    <x v="6"/>
    <n v="1"/>
    <n v="147.96"/>
    <n v="0.24"/>
    <s v="COD"/>
    <x v="1243"/>
  </r>
  <r>
    <s v="SALE1247"/>
    <d v="2024-09-25T00:00:00"/>
    <s v="CUST1445"/>
    <s v="PROD18"/>
    <x v="2"/>
    <n v="3"/>
    <n v="550.26"/>
    <n v="0.22"/>
    <s v="Credit Card"/>
    <x v="1244"/>
  </r>
  <r>
    <s v="SALE1248"/>
    <d v="2023-12-07T00:00:00"/>
    <s v="CUST1371"/>
    <s v="PROD97"/>
    <x v="4"/>
    <n v="4"/>
    <n v="938.21"/>
    <n v="0.04"/>
    <s v="PayPal"/>
    <x v="1245"/>
  </r>
  <r>
    <s v="SALE1249"/>
    <d v="2024-06-24T00:00:00"/>
    <s v="CUST1134"/>
    <s v="PROD94"/>
    <x v="9"/>
    <n v="3"/>
    <n v="517.98"/>
    <n v="0.01"/>
    <s v="PayPal"/>
    <x v="1246"/>
  </r>
  <r>
    <s v="SALE1250"/>
    <d v="2025-07-09T00:00:00"/>
    <s v="CUST1036"/>
    <s v="PROD6"/>
    <x v="2"/>
    <n v="1"/>
    <n v="98.27"/>
    <n v="0.16"/>
    <s v="PayPal"/>
    <x v="1247"/>
  </r>
  <r>
    <s v="SALE1251"/>
    <d v="2024-07-07T00:00:00"/>
    <s v="CUST1251"/>
    <s v="PROD48"/>
    <x v="19"/>
    <n v="2"/>
    <n v="875.2"/>
    <n v="0.19"/>
    <s v="Credit Card"/>
    <x v="1248"/>
  </r>
  <r>
    <s v="SALE1252"/>
    <d v="2024-02-23T00:00:00"/>
    <s v="CUST1305"/>
    <s v="PROD86"/>
    <x v="6"/>
    <n v="1"/>
    <n v="227.35"/>
    <n v="0.06"/>
    <s v="COD"/>
    <x v="1249"/>
  </r>
  <r>
    <s v="SALE1253"/>
    <d v="2023-11-05T00:00:00"/>
    <s v="CUST1210"/>
    <s v="PROD74"/>
    <x v="8"/>
    <n v="1"/>
    <n v="842.46"/>
    <n v="0.05"/>
    <s v="COD"/>
    <x v="1250"/>
  </r>
  <r>
    <s v="SALE1254"/>
    <d v="2024-09-08T00:00:00"/>
    <s v="CUST1212"/>
    <s v="PROD36"/>
    <x v="19"/>
    <n v="3"/>
    <n v="120.67"/>
    <n v="0.08"/>
    <s v="COD"/>
    <x v="1251"/>
  </r>
  <r>
    <s v="SALE1255"/>
    <d v="2024-04-20T00:00:00"/>
    <s v="CUST1497"/>
    <s v="PROD20"/>
    <x v="0"/>
    <n v="4"/>
    <n v="176.13"/>
    <n v="0.27"/>
    <s v="PayPal"/>
    <x v="1252"/>
  </r>
  <r>
    <s v="SALE1256"/>
    <d v="2025-01-14T00:00:00"/>
    <s v="CUST1450"/>
    <s v="PROD63"/>
    <x v="19"/>
    <n v="4"/>
    <n v="592.67999999999995"/>
    <n v="0.03"/>
    <s v="Credit Card"/>
    <x v="1253"/>
  </r>
  <r>
    <s v="SALE1257"/>
    <d v="2024-03-16T00:00:00"/>
    <s v="CUST1176"/>
    <s v="PROD70"/>
    <x v="5"/>
    <n v="4"/>
    <n v="662.43"/>
    <n v="0.24"/>
    <s v="PayPal"/>
    <x v="1254"/>
  </r>
  <r>
    <s v="SALE1258"/>
    <d v="2024-07-15T00:00:00"/>
    <s v="CUST1128"/>
    <s v="PROD43"/>
    <x v="2"/>
    <n v="3"/>
    <n v="518.35"/>
    <n v="0.21"/>
    <s v="COD"/>
    <x v="1255"/>
  </r>
  <r>
    <s v="SALE1259"/>
    <d v="2024-08-05T00:00:00"/>
    <s v="CUST1310"/>
    <s v="PROD61"/>
    <x v="3"/>
    <n v="1"/>
    <n v="85.58"/>
    <n v="0.1"/>
    <s v="COD"/>
    <x v="1256"/>
  </r>
  <r>
    <s v="SALE1260"/>
    <d v="2024-02-01T00:00:00"/>
    <s v="CUST1363"/>
    <s v="PROD87"/>
    <x v="8"/>
    <n v="4"/>
    <n v="800"/>
    <n v="0.2"/>
    <s v="Credit Card"/>
    <x v="1257"/>
  </r>
  <r>
    <s v="SALE1261"/>
    <d v="2025-08-20T00:00:00"/>
    <s v="CUST1155"/>
    <s v="PROD60"/>
    <x v="15"/>
    <n v="3"/>
    <n v="118.25"/>
    <n v="0.26"/>
    <s v="PayPal"/>
    <x v="1258"/>
  </r>
  <r>
    <s v="SALE1262"/>
    <d v="2023-11-23T00:00:00"/>
    <s v="CUST1421"/>
    <s v="PROD32"/>
    <x v="10"/>
    <n v="1"/>
    <n v="223.25"/>
    <n v="0.28999999999999998"/>
    <s v="Credit Card"/>
    <x v="1259"/>
  </r>
  <r>
    <s v="SALE1263"/>
    <d v="2024-08-26T00:00:00"/>
    <s v="CUST1427"/>
    <s v="PROD32"/>
    <x v="5"/>
    <n v="3"/>
    <n v="918.76"/>
    <n v="0.2"/>
    <s v="PayPal"/>
    <x v="1260"/>
  </r>
  <r>
    <s v="SALE1264"/>
    <d v="2024-07-18T00:00:00"/>
    <s v="CUST1280"/>
    <s v="PROD84"/>
    <x v="13"/>
    <n v="2"/>
    <n v="905.26"/>
    <n v="0.15"/>
    <s v="COD"/>
    <x v="1261"/>
  </r>
  <r>
    <s v="SALE1265"/>
    <d v="2024-12-02T00:00:00"/>
    <s v="CUST1312"/>
    <s v="PROD16"/>
    <x v="12"/>
    <n v="4"/>
    <n v="295.39999999999998"/>
    <n v="0.23"/>
    <s v="PayPal"/>
    <x v="1262"/>
  </r>
  <r>
    <s v="SALE1266"/>
    <d v="2025-07-23T00:00:00"/>
    <s v="CUST1087"/>
    <s v="PROD94"/>
    <x v="3"/>
    <n v="1"/>
    <n v="252.18"/>
    <n v="0.23"/>
    <s v="PayPal"/>
    <x v="1263"/>
  </r>
  <r>
    <s v="SALE1267"/>
    <d v="2025-08-09T00:00:00"/>
    <s v="CUST1152"/>
    <s v="PROD97"/>
    <x v="18"/>
    <n v="4"/>
    <n v="792.1"/>
    <n v="0.19"/>
    <s v="COD"/>
    <x v="1264"/>
  </r>
  <r>
    <s v="SALE1268"/>
    <d v="2024-05-14T00:00:00"/>
    <s v="CUST1076"/>
    <s v="PROD88"/>
    <x v="7"/>
    <n v="1"/>
    <n v="883.36"/>
    <n v="0.11"/>
    <s v="PayPal"/>
    <x v="1265"/>
  </r>
  <r>
    <s v="SALE1269"/>
    <d v="2023-11-01T00:00:00"/>
    <s v="CUST1276"/>
    <s v="PROD69"/>
    <x v="6"/>
    <n v="4"/>
    <n v="305.95"/>
    <n v="0.08"/>
    <s v="PayPal"/>
    <x v="1266"/>
  </r>
  <r>
    <s v="SALE1270"/>
    <d v="2024-11-13T00:00:00"/>
    <s v="CUST1401"/>
    <s v="PROD58"/>
    <x v="4"/>
    <n v="3"/>
    <n v="742.45"/>
    <n v="0.23"/>
    <s v="COD"/>
    <x v="1267"/>
  </r>
  <r>
    <s v="SALE1271"/>
    <d v="2024-04-10T00:00:00"/>
    <s v="CUST1355"/>
    <s v="PROD25"/>
    <x v="14"/>
    <n v="3"/>
    <n v="336.1"/>
    <n v="0.12"/>
    <s v="COD"/>
    <x v="1268"/>
  </r>
  <r>
    <s v="SALE1272"/>
    <d v="2025-08-07T00:00:00"/>
    <s v="CUST1412"/>
    <s v="PROD29"/>
    <x v="4"/>
    <n v="3"/>
    <n v="310.36"/>
    <n v="0.14000000000000001"/>
    <s v="COD"/>
    <x v="1269"/>
  </r>
  <r>
    <s v="SALE1273"/>
    <d v="2025-04-25T00:00:00"/>
    <s v="CUST1279"/>
    <s v="PROD98"/>
    <x v="2"/>
    <n v="3"/>
    <n v="992.81"/>
    <n v="0.04"/>
    <s v="PayPal"/>
    <x v="1270"/>
  </r>
  <r>
    <s v="SALE1274"/>
    <d v="2023-10-18T00:00:00"/>
    <s v="CUST1198"/>
    <s v="PROD60"/>
    <x v="19"/>
    <n v="3"/>
    <n v="257.11"/>
    <n v="0.26"/>
    <s v="COD"/>
    <x v="1271"/>
  </r>
  <r>
    <s v="SALE1275"/>
    <d v="2025-03-23T00:00:00"/>
    <s v="CUST1220"/>
    <s v="PROD95"/>
    <x v="18"/>
    <n v="4"/>
    <n v="816.29"/>
    <n v="0.24"/>
    <s v="PayPal"/>
    <x v="1272"/>
  </r>
  <r>
    <s v="SALE1276"/>
    <d v="2023-12-12T00:00:00"/>
    <s v="CUST1122"/>
    <s v="PROD60"/>
    <x v="18"/>
    <n v="4"/>
    <n v="755.82"/>
    <n v="0.22"/>
    <s v="COD"/>
    <x v="1273"/>
  </r>
  <r>
    <s v="SALE1277"/>
    <d v="2024-08-20T00:00:00"/>
    <s v="CUST1003"/>
    <s v="PROD0"/>
    <x v="7"/>
    <n v="1"/>
    <n v="449.6"/>
    <n v="0.01"/>
    <s v="PayPal"/>
    <x v="1274"/>
  </r>
  <r>
    <s v="SALE1278"/>
    <d v="2024-07-08T00:00:00"/>
    <s v="CUST1351"/>
    <s v="PROD14"/>
    <x v="6"/>
    <n v="2"/>
    <n v="779.29"/>
    <n v="0.12"/>
    <s v="COD"/>
    <x v="1275"/>
  </r>
  <r>
    <s v="SALE1279"/>
    <d v="2023-12-07T00:00:00"/>
    <s v="CUST1464"/>
    <s v="PROD77"/>
    <x v="1"/>
    <n v="1"/>
    <n v="748.75"/>
    <n v="0.1"/>
    <s v="COD"/>
    <x v="1276"/>
  </r>
  <r>
    <s v="SALE1280"/>
    <d v="2024-02-06T00:00:00"/>
    <s v="CUST1181"/>
    <s v="PROD89"/>
    <x v="6"/>
    <n v="2"/>
    <n v="121.67"/>
    <n v="0.08"/>
    <s v="COD"/>
    <x v="1277"/>
  </r>
  <r>
    <s v="SALE1281"/>
    <d v="2025-05-10T00:00:00"/>
    <s v="CUST1492"/>
    <s v="PROD49"/>
    <x v="10"/>
    <n v="3"/>
    <n v="225.14"/>
    <n v="0.15"/>
    <s v="COD"/>
    <x v="1278"/>
  </r>
  <r>
    <s v="SALE1282"/>
    <d v="2025-08-07T00:00:00"/>
    <s v="CUST1321"/>
    <s v="PROD29"/>
    <x v="12"/>
    <n v="1"/>
    <n v="654.17999999999995"/>
    <n v="0.19"/>
    <s v="PayPal"/>
    <x v="1279"/>
  </r>
  <r>
    <s v="SALE1283"/>
    <d v="2024-09-17T00:00:00"/>
    <s v="CUST1058"/>
    <s v="PROD71"/>
    <x v="3"/>
    <n v="2"/>
    <n v="504.98"/>
    <n v="0.08"/>
    <s v="COD"/>
    <x v="1280"/>
  </r>
  <r>
    <s v="SALE1284"/>
    <d v="2025-06-15T00:00:00"/>
    <s v="CUST1378"/>
    <s v="PROD54"/>
    <x v="2"/>
    <n v="2"/>
    <n v="623.20000000000005"/>
    <n v="0.14000000000000001"/>
    <s v="COD"/>
    <x v="1281"/>
  </r>
  <r>
    <s v="SALE1285"/>
    <d v="2024-11-26T00:00:00"/>
    <s v="CUST1325"/>
    <s v="PROD5"/>
    <x v="9"/>
    <n v="2"/>
    <n v="530.54"/>
    <n v="0.28000000000000003"/>
    <s v="COD"/>
    <x v="1282"/>
  </r>
  <r>
    <s v="SALE1286"/>
    <d v="2025-06-02T00:00:00"/>
    <s v="CUST1365"/>
    <s v="PROD0"/>
    <x v="9"/>
    <n v="3"/>
    <n v="279.45"/>
    <n v="0.15"/>
    <s v="COD"/>
    <x v="1283"/>
  </r>
  <r>
    <s v="SALE1287"/>
    <d v="2024-12-19T00:00:00"/>
    <s v="CUST1266"/>
    <s v="PROD12"/>
    <x v="2"/>
    <n v="3"/>
    <n v="906.99"/>
    <n v="0.26"/>
    <s v="COD"/>
    <x v="1284"/>
  </r>
  <r>
    <s v="SALE1288"/>
    <d v="2025-04-02T00:00:00"/>
    <s v="CUST1070"/>
    <s v="PROD80"/>
    <x v="1"/>
    <n v="4"/>
    <n v="408.76"/>
    <n v="0.12"/>
    <s v="COD"/>
    <x v="1285"/>
  </r>
  <r>
    <s v="SALE1289"/>
    <d v="2024-09-02T00:00:00"/>
    <s v="CUST1177"/>
    <s v="PROD36"/>
    <x v="11"/>
    <n v="2"/>
    <n v="117.34"/>
    <n v="0.09"/>
    <s v="PayPal"/>
    <x v="1286"/>
  </r>
  <r>
    <s v="SALE1290"/>
    <d v="2024-03-25T00:00:00"/>
    <s v="CUST1168"/>
    <s v="PROD91"/>
    <x v="7"/>
    <n v="3"/>
    <n v="690.27"/>
    <n v="7.0000000000000007E-2"/>
    <s v="PayPal"/>
    <x v="1287"/>
  </r>
  <r>
    <s v="SALE1291"/>
    <d v="2025-02-21T00:00:00"/>
    <s v="CUST1108"/>
    <s v="PROD28"/>
    <x v="1"/>
    <n v="4"/>
    <n v="377.18"/>
    <n v="0.24"/>
    <s v="PayPal"/>
    <x v="1288"/>
  </r>
  <r>
    <s v="SALE1292"/>
    <d v="2024-06-03T00:00:00"/>
    <s v="CUST1112"/>
    <s v="PROD40"/>
    <x v="6"/>
    <n v="1"/>
    <n v="70.52"/>
    <n v="0.08"/>
    <s v="COD"/>
    <x v="1289"/>
  </r>
  <r>
    <s v="SALE1293"/>
    <d v="2024-02-08T00:00:00"/>
    <s v="CUST1275"/>
    <s v="PROD38"/>
    <x v="11"/>
    <n v="1"/>
    <n v="40.25"/>
    <n v="0.1"/>
    <s v="PayPal"/>
    <x v="1290"/>
  </r>
  <r>
    <s v="SALE1294"/>
    <d v="2024-04-06T00:00:00"/>
    <s v="CUST1232"/>
    <s v="PROD89"/>
    <x v="19"/>
    <n v="3"/>
    <n v="539.44000000000005"/>
    <n v="0.05"/>
    <s v="COD"/>
    <x v="1291"/>
  </r>
  <r>
    <s v="SALE1295"/>
    <d v="2024-01-22T00:00:00"/>
    <s v="CUST1247"/>
    <s v="PROD60"/>
    <x v="5"/>
    <n v="3"/>
    <n v="543.49"/>
    <n v="0.05"/>
    <s v="PayPal"/>
    <x v="1292"/>
  </r>
  <r>
    <s v="SALE1296"/>
    <d v="2023-10-22T00:00:00"/>
    <s v="CUST1324"/>
    <s v="PROD7"/>
    <x v="16"/>
    <n v="4"/>
    <n v="547.21"/>
    <n v="0.1"/>
    <s v="COD"/>
    <x v="1293"/>
  </r>
  <r>
    <s v="SALE1297"/>
    <d v="2024-11-23T00:00:00"/>
    <s v="CUST1241"/>
    <s v="PROD65"/>
    <x v="8"/>
    <n v="2"/>
    <n v="892.46"/>
    <n v="7.0000000000000007E-2"/>
    <s v="PayPal"/>
    <x v="1294"/>
  </r>
  <r>
    <s v="SALE1298"/>
    <d v="2023-12-26T00:00:00"/>
    <s v="CUST1387"/>
    <s v="PROD26"/>
    <x v="2"/>
    <n v="2"/>
    <n v="853.41"/>
    <n v="0.25"/>
    <s v="Credit Card"/>
    <x v="1295"/>
  </r>
  <r>
    <s v="SALE1299"/>
    <d v="2024-06-08T00:00:00"/>
    <s v="CUST1110"/>
    <s v="PROD82"/>
    <x v="4"/>
    <n v="1"/>
    <n v="162.13999999999999"/>
    <n v="7.0000000000000007E-2"/>
    <s v="PayPal"/>
    <x v="1296"/>
  </r>
  <r>
    <s v="SALE1300"/>
    <d v="2024-07-05T00:00:00"/>
    <s v="CUST1147"/>
    <s v="PROD96"/>
    <x v="9"/>
    <n v="1"/>
    <n v="893.14"/>
    <n v="0.09"/>
    <s v="Credit Card"/>
    <x v="1297"/>
  </r>
  <r>
    <s v="SALE1301"/>
    <d v="2024-08-24T00:00:00"/>
    <s v="CUST1103"/>
    <s v="PROD34"/>
    <x v="2"/>
    <n v="4"/>
    <n v="349.07"/>
    <n v="0.28000000000000003"/>
    <s v="Credit Card"/>
    <x v="1298"/>
  </r>
  <r>
    <s v="SALE1302"/>
    <d v="2024-05-06T00:00:00"/>
    <s v="CUST1283"/>
    <s v="PROD81"/>
    <x v="13"/>
    <n v="1"/>
    <n v="747.9"/>
    <n v="0.21"/>
    <s v="COD"/>
    <x v="1299"/>
  </r>
  <r>
    <s v="SALE1303"/>
    <d v="2024-07-05T00:00:00"/>
    <s v="CUST1031"/>
    <s v="PROD81"/>
    <x v="16"/>
    <n v="3"/>
    <n v="438.92"/>
    <n v="0.21"/>
    <s v="Credit Card"/>
    <x v="1300"/>
  </r>
  <r>
    <s v="SALE1304"/>
    <d v="2023-11-02T00:00:00"/>
    <s v="CUST1123"/>
    <s v="PROD77"/>
    <x v="5"/>
    <n v="4"/>
    <n v="665.38"/>
    <n v="0.18"/>
    <s v="Credit Card"/>
    <x v="1301"/>
  </r>
  <r>
    <s v="SALE1305"/>
    <d v="2024-11-20T00:00:00"/>
    <s v="CUST1003"/>
    <s v="PROD60"/>
    <x v="14"/>
    <n v="1"/>
    <n v="146.49"/>
    <n v="0.28000000000000003"/>
    <s v="Credit Card"/>
    <x v="1302"/>
  </r>
  <r>
    <s v="SALE1306"/>
    <d v="2025-04-27T00:00:00"/>
    <s v="CUST1139"/>
    <s v="PROD38"/>
    <x v="10"/>
    <n v="2"/>
    <n v="235.39"/>
    <n v="0.27"/>
    <s v="COD"/>
    <x v="1303"/>
  </r>
  <r>
    <s v="SALE1307"/>
    <d v="2024-12-25T00:00:00"/>
    <s v="CUST1028"/>
    <s v="PROD61"/>
    <x v="3"/>
    <n v="3"/>
    <n v="38.07"/>
    <n v="0.09"/>
    <s v="PayPal"/>
    <x v="1304"/>
  </r>
  <r>
    <s v="SALE1308"/>
    <d v="2025-09-02T00:00:00"/>
    <s v="CUST1403"/>
    <s v="PROD34"/>
    <x v="5"/>
    <n v="2"/>
    <n v="511.7"/>
    <n v="0.12"/>
    <s v="COD"/>
    <x v="1305"/>
  </r>
  <r>
    <s v="SALE1309"/>
    <d v="2024-04-19T00:00:00"/>
    <s v="CUST1092"/>
    <s v="PROD75"/>
    <x v="2"/>
    <n v="4"/>
    <n v="488.72"/>
    <n v="0.23"/>
    <s v="PayPal"/>
    <x v="1306"/>
  </r>
  <r>
    <s v="SALE1310"/>
    <d v="2025-03-01T00:00:00"/>
    <s v="CUST1391"/>
    <s v="PROD50"/>
    <x v="18"/>
    <n v="2"/>
    <n v="520.45000000000005"/>
    <n v="0.11"/>
    <s v="COD"/>
    <x v="1307"/>
  </r>
  <r>
    <s v="SALE1311"/>
    <d v="2024-03-25T00:00:00"/>
    <s v="CUST1432"/>
    <s v="PROD48"/>
    <x v="3"/>
    <n v="1"/>
    <n v="340.9"/>
    <n v="0.28999999999999998"/>
    <s v="Credit Card"/>
    <x v="1308"/>
  </r>
  <r>
    <s v="SALE1312"/>
    <d v="2024-10-11T00:00:00"/>
    <s v="CUST1346"/>
    <s v="PROD31"/>
    <x v="2"/>
    <n v="3"/>
    <n v="653.59"/>
    <n v="0.17"/>
    <s v="COD"/>
    <x v="1309"/>
  </r>
  <r>
    <s v="SALE1313"/>
    <d v="2025-09-06T00:00:00"/>
    <s v="CUST1021"/>
    <s v="PROD26"/>
    <x v="14"/>
    <n v="1"/>
    <n v="179.77"/>
    <n v="0.23"/>
    <s v="COD"/>
    <x v="1310"/>
  </r>
  <r>
    <s v="SALE1314"/>
    <d v="2024-08-19T00:00:00"/>
    <s v="CUST1008"/>
    <s v="PROD0"/>
    <x v="11"/>
    <n v="2"/>
    <n v="943.8"/>
    <n v="0.06"/>
    <s v="Credit Card"/>
    <x v="1311"/>
  </r>
  <r>
    <s v="SALE1315"/>
    <d v="2023-11-04T00:00:00"/>
    <s v="CUST1409"/>
    <s v="PROD71"/>
    <x v="10"/>
    <n v="2"/>
    <n v="985"/>
    <n v="0.25"/>
    <s v="Credit Card"/>
    <x v="1312"/>
  </r>
  <r>
    <s v="SALE1316"/>
    <d v="2024-04-23T00:00:00"/>
    <s v="CUST1485"/>
    <s v="PROD88"/>
    <x v="15"/>
    <n v="4"/>
    <n v="216.81"/>
    <n v="0.28999999999999998"/>
    <s v="Credit Card"/>
    <x v="1313"/>
  </r>
  <r>
    <s v="SALE1317"/>
    <d v="2023-10-24T00:00:00"/>
    <s v="CUST1117"/>
    <s v="PROD64"/>
    <x v="17"/>
    <n v="4"/>
    <n v="950.21"/>
    <n v="0.27"/>
    <s v="COD"/>
    <x v="1314"/>
  </r>
  <r>
    <s v="SALE1318"/>
    <d v="2025-06-30T00:00:00"/>
    <s v="CUST1256"/>
    <s v="PROD48"/>
    <x v="4"/>
    <n v="2"/>
    <n v="271.39999999999998"/>
    <n v="0.17"/>
    <s v="PayPal"/>
    <x v="1315"/>
  </r>
  <r>
    <s v="SALE1319"/>
    <d v="2025-08-14T00:00:00"/>
    <s v="CUST1168"/>
    <s v="PROD39"/>
    <x v="2"/>
    <n v="4"/>
    <n v="708.19"/>
    <n v="0.1"/>
    <s v="PayPal"/>
    <x v="1316"/>
  </r>
  <r>
    <s v="SALE1320"/>
    <d v="2025-05-11T00:00:00"/>
    <s v="CUST1444"/>
    <s v="PROD54"/>
    <x v="0"/>
    <n v="3"/>
    <n v="477.05"/>
    <n v="0.05"/>
    <s v="PayPal"/>
    <x v="1317"/>
  </r>
  <r>
    <s v="SALE1321"/>
    <d v="2024-04-01T00:00:00"/>
    <s v="CUST1307"/>
    <s v="PROD74"/>
    <x v="11"/>
    <n v="3"/>
    <n v="627.29"/>
    <n v="0.27"/>
    <s v="COD"/>
    <x v="1318"/>
  </r>
  <r>
    <s v="SALE1322"/>
    <d v="2024-02-13T00:00:00"/>
    <s v="CUST1304"/>
    <s v="PROD94"/>
    <x v="19"/>
    <n v="3"/>
    <n v="206.84"/>
    <n v="0.19"/>
    <s v="PayPal"/>
    <x v="1319"/>
  </r>
  <r>
    <s v="SALE1323"/>
    <d v="2024-01-13T00:00:00"/>
    <s v="CUST1251"/>
    <s v="PROD30"/>
    <x v="8"/>
    <n v="4"/>
    <n v="629.04999999999995"/>
    <n v="0.26"/>
    <s v="Credit Card"/>
    <x v="1320"/>
  </r>
  <r>
    <s v="SALE1324"/>
    <d v="2024-09-08T00:00:00"/>
    <s v="CUST1438"/>
    <s v="PROD74"/>
    <x v="1"/>
    <n v="4"/>
    <n v="529.04"/>
    <n v="0.1"/>
    <s v="PayPal"/>
    <x v="1321"/>
  </r>
  <r>
    <s v="SALE1325"/>
    <d v="2024-02-04T00:00:00"/>
    <s v="CUST1349"/>
    <s v="PROD30"/>
    <x v="1"/>
    <n v="1"/>
    <n v="350.67"/>
    <n v="0.22"/>
    <s v="PayPal"/>
    <x v="1322"/>
  </r>
  <r>
    <s v="SALE1326"/>
    <d v="2024-07-25T00:00:00"/>
    <s v="CUST1371"/>
    <s v="PROD95"/>
    <x v="8"/>
    <n v="1"/>
    <n v="128.93"/>
    <n v="0.26"/>
    <s v="Credit Card"/>
    <x v="1323"/>
  </r>
  <r>
    <s v="SALE1327"/>
    <d v="2024-09-09T00:00:00"/>
    <s v="CUST1145"/>
    <s v="PROD86"/>
    <x v="10"/>
    <n v="2"/>
    <n v="384.92"/>
    <n v="0.09"/>
    <s v="Credit Card"/>
    <x v="1324"/>
  </r>
  <r>
    <s v="SALE1328"/>
    <d v="2023-12-08T00:00:00"/>
    <s v="CUST1334"/>
    <s v="PROD5"/>
    <x v="2"/>
    <n v="3"/>
    <n v="120.77"/>
    <n v="0.28999999999999998"/>
    <s v="PayPal"/>
    <x v="1325"/>
  </r>
  <r>
    <s v="SALE1329"/>
    <d v="2025-06-16T00:00:00"/>
    <s v="CUST1222"/>
    <s v="PROD76"/>
    <x v="1"/>
    <n v="4"/>
    <n v="661.39"/>
    <n v="7.0000000000000007E-2"/>
    <s v="Credit Card"/>
    <x v="1326"/>
  </r>
  <r>
    <s v="SALE1330"/>
    <d v="2023-12-01T00:00:00"/>
    <s v="CUST1449"/>
    <s v="PROD62"/>
    <x v="17"/>
    <n v="1"/>
    <n v="195.24"/>
    <n v="0.27"/>
    <s v="PayPal"/>
    <x v="1327"/>
  </r>
  <r>
    <s v="SALE1331"/>
    <d v="2023-11-03T00:00:00"/>
    <s v="CUST1004"/>
    <s v="PROD92"/>
    <x v="14"/>
    <n v="2"/>
    <n v="177.4"/>
    <n v="0.19"/>
    <s v="PayPal"/>
    <x v="1328"/>
  </r>
  <r>
    <s v="SALE1332"/>
    <d v="2025-01-16T00:00:00"/>
    <s v="CUST1057"/>
    <s v="PROD98"/>
    <x v="19"/>
    <n v="4"/>
    <n v="862.67"/>
    <n v="0.2"/>
    <s v="PayPal"/>
    <x v="1329"/>
  </r>
  <r>
    <s v="SALE1333"/>
    <d v="2024-09-30T00:00:00"/>
    <s v="CUST1444"/>
    <s v="PROD17"/>
    <x v="16"/>
    <n v="1"/>
    <n v="55.04"/>
    <n v="0.01"/>
    <s v="COD"/>
    <x v="1330"/>
  </r>
  <r>
    <s v="SALE1334"/>
    <d v="2024-12-20T00:00:00"/>
    <s v="CUST1049"/>
    <s v="PROD45"/>
    <x v="6"/>
    <n v="2"/>
    <n v="905.47"/>
    <n v="0.2"/>
    <s v="COD"/>
    <x v="1331"/>
  </r>
  <r>
    <s v="SALE1335"/>
    <d v="2024-09-04T00:00:00"/>
    <s v="CUST1461"/>
    <s v="PROD63"/>
    <x v="13"/>
    <n v="3"/>
    <n v="217.13"/>
    <n v="0.28000000000000003"/>
    <s v="Credit Card"/>
    <x v="1332"/>
  </r>
  <r>
    <s v="SALE1336"/>
    <d v="2025-10-06T00:00:00"/>
    <s v="CUST1389"/>
    <s v="PROD75"/>
    <x v="6"/>
    <n v="3"/>
    <n v="580.45000000000005"/>
    <n v="0"/>
    <s v="PayPal"/>
    <x v="1333"/>
  </r>
  <r>
    <s v="SALE1337"/>
    <d v="2025-07-16T00:00:00"/>
    <s v="CUST1103"/>
    <s v="PROD4"/>
    <x v="1"/>
    <n v="2"/>
    <n v="892.88"/>
    <n v="0.17"/>
    <s v="PayPal"/>
    <x v="1334"/>
  </r>
  <r>
    <s v="SALE1338"/>
    <d v="2025-10-06T00:00:00"/>
    <s v="CUST1091"/>
    <s v="PROD40"/>
    <x v="14"/>
    <n v="2"/>
    <n v="356.28"/>
    <n v="0.11"/>
    <s v="COD"/>
    <x v="1335"/>
  </r>
  <r>
    <s v="SALE1339"/>
    <d v="2025-09-21T00:00:00"/>
    <s v="CUST1384"/>
    <s v="PROD80"/>
    <x v="17"/>
    <n v="4"/>
    <n v="806.99"/>
    <n v="0.06"/>
    <s v="Credit Card"/>
    <x v="1336"/>
  </r>
  <r>
    <s v="SALE1340"/>
    <d v="2025-07-17T00:00:00"/>
    <s v="CUST1439"/>
    <s v="PROD20"/>
    <x v="8"/>
    <n v="3"/>
    <n v="684.22"/>
    <n v="0.09"/>
    <s v="Credit Card"/>
    <x v="1337"/>
  </r>
  <r>
    <s v="SALE1341"/>
    <d v="2025-06-29T00:00:00"/>
    <s v="CUST1443"/>
    <s v="PROD93"/>
    <x v="4"/>
    <n v="4"/>
    <n v="763.34"/>
    <n v="7.0000000000000007E-2"/>
    <s v="PayPal"/>
    <x v="1338"/>
  </r>
  <r>
    <s v="SALE1342"/>
    <d v="2025-03-22T00:00:00"/>
    <s v="CUST1361"/>
    <s v="PROD50"/>
    <x v="0"/>
    <n v="3"/>
    <n v="721.94"/>
    <n v="0.26"/>
    <s v="Credit Card"/>
    <x v="1339"/>
  </r>
  <r>
    <s v="SALE1343"/>
    <d v="2024-02-01T00:00:00"/>
    <s v="CUST1406"/>
    <s v="PROD97"/>
    <x v="8"/>
    <n v="3"/>
    <n v="760.38"/>
    <n v="0"/>
    <s v="COD"/>
    <x v="1340"/>
  </r>
  <r>
    <s v="SALE1344"/>
    <d v="2024-03-11T00:00:00"/>
    <s v="CUST1298"/>
    <s v="PROD97"/>
    <x v="16"/>
    <n v="3"/>
    <n v="612.53"/>
    <n v="0.21"/>
    <s v="COD"/>
    <x v="1341"/>
  </r>
  <r>
    <s v="SALE1345"/>
    <d v="2024-09-09T00:00:00"/>
    <s v="CUST1041"/>
    <s v="PROD63"/>
    <x v="9"/>
    <n v="3"/>
    <n v="841.37"/>
    <n v="0.28999999999999998"/>
    <s v="PayPal"/>
    <x v="1342"/>
  </r>
  <r>
    <s v="SALE1346"/>
    <d v="2023-11-19T00:00:00"/>
    <s v="CUST1261"/>
    <s v="PROD48"/>
    <x v="11"/>
    <n v="2"/>
    <n v="636.51"/>
    <n v="0.25"/>
    <s v="Credit Card"/>
    <x v="1343"/>
  </r>
  <r>
    <s v="SALE1347"/>
    <d v="2025-01-02T00:00:00"/>
    <s v="CUST1091"/>
    <s v="PROD45"/>
    <x v="2"/>
    <n v="2"/>
    <n v="732.37"/>
    <n v="0.22"/>
    <s v="COD"/>
    <x v="1344"/>
  </r>
  <r>
    <s v="SALE1348"/>
    <d v="2025-09-27T00:00:00"/>
    <s v="CUST1164"/>
    <s v="PROD54"/>
    <x v="9"/>
    <n v="3"/>
    <n v="183.44"/>
    <n v="0.28000000000000003"/>
    <s v="COD"/>
    <x v="1345"/>
  </r>
  <r>
    <s v="SALE1349"/>
    <d v="2024-03-22T00:00:00"/>
    <s v="CUST1065"/>
    <s v="PROD11"/>
    <x v="13"/>
    <n v="4"/>
    <n v="898.58"/>
    <n v="0.16"/>
    <s v="PayPal"/>
    <x v="1346"/>
  </r>
  <r>
    <s v="SALE1350"/>
    <d v="2024-08-25T00:00:00"/>
    <s v="CUST1390"/>
    <s v="PROD23"/>
    <x v="17"/>
    <n v="3"/>
    <n v="152.41"/>
    <n v="0.25"/>
    <s v="Credit Card"/>
    <x v="1347"/>
  </r>
  <r>
    <s v="SALE1351"/>
    <d v="2025-08-03T00:00:00"/>
    <s v="CUST1223"/>
    <s v="PROD92"/>
    <x v="7"/>
    <n v="3"/>
    <n v="972.58"/>
    <n v="0.28000000000000003"/>
    <s v="COD"/>
    <x v="1348"/>
  </r>
  <r>
    <s v="SALE1352"/>
    <d v="2023-12-07T00:00:00"/>
    <s v="CUST1466"/>
    <s v="PROD69"/>
    <x v="19"/>
    <n v="4"/>
    <n v="136.4"/>
    <n v="0.04"/>
    <s v="COD"/>
    <x v="1349"/>
  </r>
  <r>
    <s v="SALE1353"/>
    <d v="2025-08-25T00:00:00"/>
    <s v="CUST1400"/>
    <s v="PROD94"/>
    <x v="10"/>
    <n v="1"/>
    <n v="509.63"/>
    <n v="0.27"/>
    <s v="COD"/>
    <x v="1350"/>
  </r>
  <r>
    <s v="SALE1354"/>
    <d v="2024-02-09T00:00:00"/>
    <s v="CUST1003"/>
    <s v="PROD97"/>
    <x v="0"/>
    <n v="4"/>
    <n v="360.28"/>
    <n v="0.09"/>
    <s v="COD"/>
    <x v="1351"/>
  </r>
  <r>
    <s v="SALE1355"/>
    <d v="2025-09-10T00:00:00"/>
    <s v="CUST1080"/>
    <s v="PROD89"/>
    <x v="10"/>
    <n v="3"/>
    <n v="882.05"/>
    <n v="0.06"/>
    <s v="PayPal"/>
    <x v="1352"/>
  </r>
  <r>
    <s v="SALE1356"/>
    <d v="2024-09-29T00:00:00"/>
    <s v="CUST1195"/>
    <s v="PROD79"/>
    <x v="2"/>
    <n v="3"/>
    <n v="141.54"/>
    <n v="0.12"/>
    <s v="PayPal"/>
    <x v="1353"/>
  </r>
  <r>
    <s v="SALE1357"/>
    <d v="2024-06-18T00:00:00"/>
    <s v="CUST1043"/>
    <s v="PROD15"/>
    <x v="5"/>
    <n v="3"/>
    <n v="83.5"/>
    <n v="0.23"/>
    <s v="COD"/>
    <x v="1354"/>
  </r>
  <r>
    <s v="SALE1358"/>
    <d v="2023-11-28T00:00:00"/>
    <s v="CUST1123"/>
    <s v="PROD14"/>
    <x v="16"/>
    <n v="2"/>
    <n v="629.73"/>
    <n v="7.0000000000000007E-2"/>
    <s v="PayPal"/>
    <x v="1355"/>
  </r>
  <r>
    <s v="SALE1359"/>
    <d v="2023-10-29T00:00:00"/>
    <s v="CUST1012"/>
    <s v="PROD33"/>
    <x v="16"/>
    <n v="2"/>
    <n v="159.93"/>
    <n v="0.2"/>
    <s v="COD"/>
    <x v="1356"/>
  </r>
  <r>
    <s v="SALE1360"/>
    <d v="2025-07-20T00:00:00"/>
    <s v="CUST1012"/>
    <s v="PROD45"/>
    <x v="14"/>
    <n v="1"/>
    <n v="459.89"/>
    <n v="0.18"/>
    <s v="COD"/>
    <x v="1357"/>
  </r>
  <r>
    <s v="SALE1361"/>
    <d v="2024-08-28T00:00:00"/>
    <s v="CUST1188"/>
    <s v="PROD33"/>
    <x v="12"/>
    <n v="4"/>
    <n v="885.57"/>
    <n v="0.27"/>
    <s v="Credit Card"/>
    <x v="1358"/>
  </r>
  <r>
    <s v="SALE1362"/>
    <d v="2024-06-11T00:00:00"/>
    <s v="CUST1402"/>
    <s v="PROD54"/>
    <x v="10"/>
    <n v="3"/>
    <n v="789.05"/>
    <n v="0"/>
    <s v="PayPal"/>
    <x v="1359"/>
  </r>
  <r>
    <s v="SALE1363"/>
    <d v="2023-11-14T00:00:00"/>
    <s v="CUST1154"/>
    <s v="PROD66"/>
    <x v="6"/>
    <n v="1"/>
    <n v="570.52"/>
    <n v="0"/>
    <s v="PayPal"/>
    <x v="1360"/>
  </r>
  <r>
    <s v="SALE1364"/>
    <d v="2024-01-31T00:00:00"/>
    <s v="CUST1179"/>
    <s v="PROD27"/>
    <x v="9"/>
    <n v="4"/>
    <n v="310.79000000000002"/>
    <n v="0.22"/>
    <s v="COD"/>
    <x v="1361"/>
  </r>
  <r>
    <s v="SALE1365"/>
    <d v="2025-04-10T00:00:00"/>
    <s v="CUST1057"/>
    <s v="PROD68"/>
    <x v="1"/>
    <n v="4"/>
    <n v="255.67"/>
    <n v="0.17"/>
    <s v="Credit Card"/>
    <x v="1362"/>
  </r>
  <r>
    <s v="SALE1366"/>
    <d v="2024-04-15T00:00:00"/>
    <s v="CUST1129"/>
    <s v="PROD27"/>
    <x v="9"/>
    <n v="2"/>
    <n v="270.66000000000003"/>
    <n v="0.1"/>
    <s v="COD"/>
    <x v="1363"/>
  </r>
  <r>
    <s v="SALE1367"/>
    <d v="2025-09-14T00:00:00"/>
    <s v="CUST1299"/>
    <s v="PROD23"/>
    <x v="1"/>
    <n v="3"/>
    <n v="373.35"/>
    <n v="0.2"/>
    <s v="COD"/>
    <x v="1364"/>
  </r>
  <r>
    <s v="SALE1368"/>
    <d v="2024-05-20T00:00:00"/>
    <s v="CUST1036"/>
    <s v="PROD59"/>
    <x v="19"/>
    <n v="2"/>
    <n v="23.58"/>
    <n v="0.02"/>
    <s v="PayPal"/>
    <x v="1365"/>
  </r>
  <r>
    <s v="SALE1369"/>
    <d v="2025-05-21T00:00:00"/>
    <s v="CUST1005"/>
    <s v="PROD35"/>
    <x v="4"/>
    <n v="4"/>
    <n v="185.67"/>
    <n v="0.21"/>
    <s v="PayPal"/>
    <x v="1366"/>
  </r>
  <r>
    <s v="SALE1370"/>
    <d v="2024-04-14T00:00:00"/>
    <s v="CUST1120"/>
    <s v="PROD18"/>
    <x v="13"/>
    <n v="3"/>
    <n v="928.74"/>
    <n v="0.27"/>
    <s v="PayPal"/>
    <x v="1367"/>
  </r>
  <r>
    <s v="SALE1371"/>
    <d v="2023-11-05T00:00:00"/>
    <s v="CUST1029"/>
    <s v="PROD84"/>
    <x v="3"/>
    <n v="3"/>
    <n v="923.38"/>
    <n v="7.0000000000000007E-2"/>
    <s v="COD"/>
    <x v="1368"/>
  </r>
  <r>
    <s v="SALE1372"/>
    <d v="2024-07-26T00:00:00"/>
    <s v="CUST1462"/>
    <s v="PROD4"/>
    <x v="11"/>
    <n v="2"/>
    <n v="409.26"/>
    <n v="0.1"/>
    <s v="PayPal"/>
    <x v="1369"/>
  </r>
  <r>
    <s v="SALE1373"/>
    <d v="2023-12-12T00:00:00"/>
    <s v="CUST1254"/>
    <s v="PROD23"/>
    <x v="4"/>
    <n v="2"/>
    <n v="608.46"/>
    <n v="0.16"/>
    <s v="Credit Card"/>
    <x v="1370"/>
  </r>
  <r>
    <s v="SALE1374"/>
    <d v="2025-05-08T00:00:00"/>
    <s v="CUST1212"/>
    <s v="PROD42"/>
    <x v="12"/>
    <n v="4"/>
    <n v="150.47999999999999"/>
    <n v="0.09"/>
    <s v="Credit Card"/>
    <x v="1371"/>
  </r>
  <r>
    <s v="SALE1375"/>
    <d v="2024-08-30T00:00:00"/>
    <s v="CUST1245"/>
    <s v="PROD68"/>
    <x v="7"/>
    <n v="4"/>
    <n v="207.41"/>
    <n v="0.02"/>
    <s v="Credit Card"/>
    <x v="1372"/>
  </r>
  <r>
    <s v="SALE1376"/>
    <d v="2025-05-26T00:00:00"/>
    <s v="CUST1172"/>
    <s v="PROD11"/>
    <x v="16"/>
    <n v="1"/>
    <n v="56.59"/>
    <n v="0.15"/>
    <s v="PayPal"/>
    <x v="1373"/>
  </r>
  <r>
    <s v="SALE1377"/>
    <d v="2025-01-10T00:00:00"/>
    <s v="CUST1405"/>
    <s v="PROD39"/>
    <x v="5"/>
    <n v="4"/>
    <n v="995.4"/>
    <n v="0.27"/>
    <s v="Credit Card"/>
    <x v="1374"/>
  </r>
  <r>
    <s v="SALE1378"/>
    <d v="2024-12-30T00:00:00"/>
    <s v="CUST1064"/>
    <s v="PROD47"/>
    <x v="18"/>
    <n v="2"/>
    <n v="591.33000000000004"/>
    <n v="0.24"/>
    <s v="Credit Card"/>
    <x v="1375"/>
  </r>
  <r>
    <s v="SALE1379"/>
    <d v="2025-07-31T00:00:00"/>
    <s v="CUST1378"/>
    <s v="PROD48"/>
    <x v="1"/>
    <n v="2"/>
    <n v="204.89"/>
    <n v="0.24"/>
    <s v="Credit Card"/>
    <x v="1376"/>
  </r>
  <r>
    <s v="SALE1380"/>
    <d v="2024-09-14T00:00:00"/>
    <s v="CUST1090"/>
    <s v="PROD65"/>
    <x v="7"/>
    <n v="2"/>
    <n v="546.41"/>
    <n v="0.08"/>
    <s v="COD"/>
    <x v="1377"/>
  </r>
  <r>
    <s v="SALE1381"/>
    <d v="2024-04-27T00:00:00"/>
    <s v="CUST1056"/>
    <s v="PROD18"/>
    <x v="18"/>
    <n v="4"/>
    <n v="455.49"/>
    <n v="0.17"/>
    <s v="Credit Card"/>
    <x v="1378"/>
  </r>
  <r>
    <s v="SALE1382"/>
    <d v="2024-03-23T00:00:00"/>
    <s v="CUST1422"/>
    <s v="PROD10"/>
    <x v="9"/>
    <n v="2"/>
    <n v="700.27"/>
    <n v="0.16"/>
    <s v="Credit Card"/>
    <x v="1379"/>
  </r>
  <r>
    <s v="SALE1383"/>
    <d v="2023-12-22T00:00:00"/>
    <s v="CUST1345"/>
    <s v="PROD82"/>
    <x v="1"/>
    <n v="2"/>
    <n v="160.21"/>
    <n v="0.09"/>
    <s v="Credit Card"/>
    <x v="1380"/>
  </r>
  <r>
    <s v="SALE1384"/>
    <d v="2025-03-26T00:00:00"/>
    <s v="CUST1031"/>
    <s v="PROD47"/>
    <x v="19"/>
    <n v="1"/>
    <n v="713.63"/>
    <n v="0.28000000000000003"/>
    <s v="COD"/>
    <x v="1381"/>
  </r>
  <r>
    <s v="SALE1385"/>
    <d v="2024-06-04T00:00:00"/>
    <s v="CUST1227"/>
    <s v="PROD93"/>
    <x v="4"/>
    <n v="2"/>
    <n v="224.69"/>
    <n v="0.2"/>
    <s v="COD"/>
    <x v="1382"/>
  </r>
  <r>
    <s v="SALE1386"/>
    <d v="2025-03-17T00:00:00"/>
    <s v="CUST1453"/>
    <s v="PROD20"/>
    <x v="7"/>
    <n v="2"/>
    <n v="740.57"/>
    <n v="0.06"/>
    <s v="Credit Card"/>
    <x v="1383"/>
  </r>
  <r>
    <s v="SALE1387"/>
    <d v="2024-03-22T00:00:00"/>
    <s v="CUST1142"/>
    <s v="PROD11"/>
    <x v="0"/>
    <n v="3"/>
    <n v="250.14"/>
    <n v="0.23"/>
    <s v="PayPal"/>
    <x v="1384"/>
  </r>
  <r>
    <s v="SALE1388"/>
    <d v="2024-12-29T00:00:00"/>
    <s v="CUST1020"/>
    <s v="PROD98"/>
    <x v="12"/>
    <n v="3"/>
    <n v="34.97"/>
    <n v="0.01"/>
    <s v="Credit Card"/>
    <x v="1385"/>
  </r>
  <r>
    <s v="SALE1389"/>
    <d v="2025-07-30T00:00:00"/>
    <s v="CUST1304"/>
    <s v="PROD42"/>
    <x v="9"/>
    <n v="1"/>
    <n v="653.91"/>
    <n v="0.3"/>
    <s v="PayPal"/>
    <x v="1386"/>
  </r>
  <r>
    <s v="SALE1390"/>
    <d v="2024-02-16T00:00:00"/>
    <s v="CUST1363"/>
    <s v="PROD66"/>
    <x v="0"/>
    <n v="1"/>
    <n v="997.87"/>
    <n v="0.24"/>
    <s v="Credit Card"/>
    <x v="1387"/>
  </r>
  <r>
    <s v="SALE1391"/>
    <d v="2024-02-27T00:00:00"/>
    <s v="CUST1208"/>
    <s v="PROD89"/>
    <x v="7"/>
    <n v="1"/>
    <n v="174.27"/>
    <n v="0.27"/>
    <s v="COD"/>
    <x v="1388"/>
  </r>
  <r>
    <s v="SALE1392"/>
    <d v="2024-03-17T00:00:00"/>
    <s v="CUST1115"/>
    <s v="PROD49"/>
    <x v="4"/>
    <n v="3"/>
    <n v="847.44"/>
    <n v="0.17"/>
    <s v="Credit Card"/>
    <x v="1389"/>
  </r>
  <r>
    <s v="SALE1393"/>
    <d v="2023-11-13T00:00:00"/>
    <s v="CUST1428"/>
    <s v="PROD2"/>
    <x v="17"/>
    <n v="1"/>
    <n v="493.45"/>
    <n v="0.09"/>
    <s v="Credit Card"/>
    <x v="1390"/>
  </r>
  <r>
    <s v="SALE1394"/>
    <d v="2024-10-12T00:00:00"/>
    <s v="CUST1232"/>
    <s v="PROD62"/>
    <x v="17"/>
    <n v="4"/>
    <n v="111.66"/>
    <n v="0.14000000000000001"/>
    <s v="Credit Card"/>
    <x v="1391"/>
  </r>
  <r>
    <s v="SALE1395"/>
    <d v="2024-02-21T00:00:00"/>
    <s v="CUST1278"/>
    <s v="PROD90"/>
    <x v="19"/>
    <n v="1"/>
    <n v="413.65"/>
    <n v="0.1"/>
    <s v="COD"/>
    <x v="1392"/>
  </r>
  <r>
    <s v="SALE1396"/>
    <d v="2025-03-28T00:00:00"/>
    <s v="CUST1475"/>
    <s v="PROD89"/>
    <x v="11"/>
    <n v="1"/>
    <n v="317.14999999999998"/>
    <n v="0.24"/>
    <s v="COD"/>
    <x v="1393"/>
  </r>
  <r>
    <s v="SALE1397"/>
    <d v="2025-08-04T00:00:00"/>
    <s v="CUST1359"/>
    <s v="PROD88"/>
    <x v="8"/>
    <n v="3"/>
    <n v="642.94000000000005"/>
    <n v="0.05"/>
    <s v="COD"/>
    <x v="1394"/>
  </r>
  <r>
    <s v="SALE1398"/>
    <d v="2024-11-05T00:00:00"/>
    <s v="CUST1133"/>
    <s v="PROD57"/>
    <x v="15"/>
    <n v="4"/>
    <n v="559.59"/>
    <n v="0.19"/>
    <s v="COD"/>
    <x v="1395"/>
  </r>
  <r>
    <s v="SALE1399"/>
    <d v="2024-06-15T00:00:00"/>
    <s v="CUST1114"/>
    <s v="PROD29"/>
    <x v="14"/>
    <n v="1"/>
    <n v="758.54"/>
    <n v="0.28999999999999998"/>
    <s v="PayPal"/>
    <x v="1396"/>
  </r>
  <r>
    <s v="SALE1400"/>
    <d v="2024-12-23T00:00:00"/>
    <s v="CUST1462"/>
    <s v="PROD80"/>
    <x v="10"/>
    <n v="4"/>
    <n v="643.96"/>
    <n v="0.16"/>
    <s v="PayPal"/>
    <x v="1397"/>
  </r>
  <r>
    <s v="SALE1401"/>
    <d v="2024-12-27T00:00:00"/>
    <s v="CUST1243"/>
    <s v="PROD24"/>
    <x v="11"/>
    <n v="1"/>
    <n v="882.73"/>
    <n v="0.1"/>
    <s v="Credit Card"/>
    <x v="1398"/>
  </r>
  <r>
    <s v="SALE1402"/>
    <d v="2024-03-27T00:00:00"/>
    <s v="CUST1325"/>
    <s v="PROD91"/>
    <x v="12"/>
    <n v="2"/>
    <n v="600.03"/>
    <n v="0.26"/>
    <s v="PayPal"/>
    <x v="1399"/>
  </r>
  <r>
    <s v="SALE1403"/>
    <d v="2024-12-12T00:00:00"/>
    <s v="CUST1157"/>
    <s v="PROD54"/>
    <x v="3"/>
    <n v="2"/>
    <n v="628.83000000000004"/>
    <n v="7.0000000000000007E-2"/>
    <s v="PayPal"/>
    <x v="1400"/>
  </r>
  <r>
    <s v="SALE1404"/>
    <d v="2023-12-17T00:00:00"/>
    <s v="CUST1175"/>
    <s v="PROD81"/>
    <x v="11"/>
    <n v="3"/>
    <n v="113.87"/>
    <n v="0.21"/>
    <s v="COD"/>
    <x v="1401"/>
  </r>
  <r>
    <s v="SALE1405"/>
    <d v="2024-02-29T00:00:00"/>
    <s v="CUST1418"/>
    <s v="PROD72"/>
    <x v="4"/>
    <n v="4"/>
    <n v="282.07"/>
    <n v="0.18"/>
    <s v="PayPal"/>
    <x v="1402"/>
  </r>
  <r>
    <s v="SALE1406"/>
    <d v="2023-12-30T00:00:00"/>
    <s v="CUST1156"/>
    <s v="PROD54"/>
    <x v="16"/>
    <n v="3"/>
    <n v="676.77"/>
    <n v="0.17"/>
    <s v="PayPal"/>
    <x v="1403"/>
  </r>
  <r>
    <s v="SALE1407"/>
    <d v="2024-12-12T00:00:00"/>
    <s v="CUST1220"/>
    <s v="PROD7"/>
    <x v="9"/>
    <n v="2"/>
    <n v="362.7"/>
    <n v="0.09"/>
    <s v="Credit Card"/>
    <x v="1404"/>
  </r>
  <r>
    <s v="SALE1408"/>
    <d v="2025-01-22T00:00:00"/>
    <s v="CUST1135"/>
    <s v="PROD13"/>
    <x v="17"/>
    <n v="1"/>
    <n v="908.5"/>
    <n v="0.2"/>
    <s v="COD"/>
    <x v="1405"/>
  </r>
  <r>
    <s v="SALE1409"/>
    <d v="2024-01-05T00:00:00"/>
    <s v="CUST1067"/>
    <s v="PROD25"/>
    <x v="10"/>
    <n v="2"/>
    <n v="795.37"/>
    <n v="0.2"/>
    <s v="COD"/>
    <x v="1406"/>
  </r>
  <r>
    <s v="SALE1410"/>
    <d v="2025-04-13T00:00:00"/>
    <s v="CUST1144"/>
    <s v="PROD35"/>
    <x v="5"/>
    <n v="2"/>
    <n v="326.85000000000002"/>
    <n v="0.17"/>
    <s v="COD"/>
    <x v="1407"/>
  </r>
  <r>
    <s v="SALE1411"/>
    <d v="2024-11-07T00:00:00"/>
    <s v="CUST1350"/>
    <s v="PROD56"/>
    <x v="7"/>
    <n v="3"/>
    <n v="169.43"/>
    <n v="0.19"/>
    <s v="Credit Card"/>
    <x v="1408"/>
  </r>
  <r>
    <s v="SALE1412"/>
    <d v="2024-05-01T00:00:00"/>
    <s v="CUST1163"/>
    <s v="PROD83"/>
    <x v="16"/>
    <n v="1"/>
    <n v="254.47"/>
    <n v="0.1"/>
    <s v="Credit Card"/>
    <x v="1409"/>
  </r>
  <r>
    <s v="SALE1413"/>
    <d v="2024-08-02T00:00:00"/>
    <s v="CUST1418"/>
    <s v="PROD25"/>
    <x v="9"/>
    <n v="4"/>
    <n v="627.73"/>
    <n v="0.11"/>
    <s v="COD"/>
    <x v="1410"/>
  </r>
  <r>
    <s v="SALE1414"/>
    <d v="2024-04-12T00:00:00"/>
    <s v="CUST1371"/>
    <s v="PROD31"/>
    <x v="12"/>
    <n v="4"/>
    <n v="327.25"/>
    <n v="0.13"/>
    <s v="COD"/>
    <x v="1411"/>
  </r>
  <r>
    <s v="SALE1415"/>
    <d v="2025-04-08T00:00:00"/>
    <s v="CUST1145"/>
    <s v="PROD59"/>
    <x v="19"/>
    <n v="4"/>
    <n v="511.43"/>
    <n v="0.18"/>
    <s v="COD"/>
    <x v="1412"/>
  </r>
  <r>
    <s v="SALE1416"/>
    <d v="2024-06-30T00:00:00"/>
    <s v="CUST1165"/>
    <s v="PROD63"/>
    <x v="1"/>
    <n v="4"/>
    <n v="194.67"/>
    <n v="0.23"/>
    <s v="PayPal"/>
    <x v="1413"/>
  </r>
  <r>
    <s v="SALE1417"/>
    <d v="2024-01-13T00:00:00"/>
    <s v="CUST1059"/>
    <s v="PROD23"/>
    <x v="8"/>
    <n v="2"/>
    <n v="54.51"/>
    <n v="7.0000000000000007E-2"/>
    <s v="Credit Card"/>
    <x v="1414"/>
  </r>
  <r>
    <s v="SALE1418"/>
    <d v="2024-09-22T00:00:00"/>
    <s v="CUST1076"/>
    <s v="PROD62"/>
    <x v="19"/>
    <n v="4"/>
    <n v="964"/>
    <n v="0.14000000000000001"/>
    <s v="PayPal"/>
    <x v="1415"/>
  </r>
  <r>
    <s v="SALE1419"/>
    <d v="2024-08-23T00:00:00"/>
    <s v="CUST1040"/>
    <s v="PROD89"/>
    <x v="5"/>
    <n v="1"/>
    <n v="170.12"/>
    <n v="0.26"/>
    <s v="PayPal"/>
    <x v="1416"/>
  </r>
  <r>
    <s v="SALE1420"/>
    <d v="2025-08-06T00:00:00"/>
    <s v="CUST1152"/>
    <s v="PROD53"/>
    <x v="12"/>
    <n v="2"/>
    <n v="664.5"/>
    <n v="0.23"/>
    <s v="Credit Card"/>
    <x v="1417"/>
  </r>
  <r>
    <s v="SALE1421"/>
    <d v="2025-10-06T00:00:00"/>
    <s v="CUST1371"/>
    <s v="PROD45"/>
    <x v="15"/>
    <n v="4"/>
    <n v="557.51"/>
    <n v="0.11"/>
    <s v="Credit Card"/>
    <x v="1418"/>
  </r>
  <r>
    <s v="SALE1422"/>
    <d v="2025-05-30T00:00:00"/>
    <s v="CUST1397"/>
    <s v="PROD90"/>
    <x v="8"/>
    <n v="2"/>
    <n v="410"/>
    <n v="0.13"/>
    <s v="COD"/>
    <x v="1419"/>
  </r>
  <r>
    <s v="SALE1423"/>
    <d v="2024-06-30T00:00:00"/>
    <s v="CUST1306"/>
    <s v="PROD83"/>
    <x v="3"/>
    <n v="2"/>
    <n v="879.93"/>
    <n v="0.28999999999999998"/>
    <s v="COD"/>
    <x v="1420"/>
  </r>
  <r>
    <s v="SALE1424"/>
    <d v="2025-01-07T00:00:00"/>
    <s v="CUST1007"/>
    <s v="PROD13"/>
    <x v="14"/>
    <n v="1"/>
    <n v="350.58"/>
    <n v="0.03"/>
    <s v="COD"/>
    <x v="1421"/>
  </r>
  <r>
    <s v="SALE1425"/>
    <d v="2024-12-07T00:00:00"/>
    <s v="CUST1350"/>
    <s v="PROD58"/>
    <x v="0"/>
    <n v="4"/>
    <n v="348.58"/>
    <n v="0.16"/>
    <s v="Credit Card"/>
    <x v="1422"/>
  </r>
  <r>
    <s v="SALE1426"/>
    <d v="2024-09-13T00:00:00"/>
    <s v="CUST1459"/>
    <s v="PROD25"/>
    <x v="0"/>
    <n v="3"/>
    <n v="247.66"/>
    <n v="0.02"/>
    <s v="COD"/>
    <x v="1423"/>
  </r>
  <r>
    <s v="SALE1427"/>
    <d v="2023-11-14T00:00:00"/>
    <s v="CUST1388"/>
    <s v="PROD39"/>
    <x v="10"/>
    <n v="3"/>
    <n v="836.27"/>
    <n v="0.16"/>
    <s v="Credit Card"/>
    <x v="1424"/>
  </r>
  <r>
    <s v="SALE1428"/>
    <d v="2025-04-06T00:00:00"/>
    <s v="CUST1195"/>
    <s v="PROD14"/>
    <x v="15"/>
    <n v="3"/>
    <n v="696.74"/>
    <n v="0.13"/>
    <s v="COD"/>
    <x v="1425"/>
  </r>
  <r>
    <s v="SALE1429"/>
    <d v="2025-05-27T00:00:00"/>
    <s v="CUST1245"/>
    <s v="PROD94"/>
    <x v="13"/>
    <n v="2"/>
    <n v="822.59"/>
    <n v="0.22"/>
    <s v="PayPal"/>
    <x v="1426"/>
  </r>
  <r>
    <s v="SALE1430"/>
    <d v="2023-12-03T00:00:00"/>
    <s v="CUST1222"/>
    <s v="PROD79"/>
    <x v="17"/>
    <n v="1"/>
    <n v="462.23"/>
    <n v="0.3"/>
    <s v="PayPal"/>
    <x v="1427"/>
  </r>
  <r>
    <s v="SALE1431"/>
    <d v="2025-09-06T00:00:00"/>
    <s v="CUST1447"/>
    <s v="PROD42"/>
    <x v="1"/>
    <n v="1"/>
    <n v="361.09"/>
    <n v="0.06"/>
    <s v="PayPal"/>
    <x v="1428"/>
  </r>
  <r>
    <s v="SALE1432"/>
    <d v="2023-11-13T00:00:00"/>
    <s v="CUST1383"/>
    <s v="PROD73"/>
    <x v="12"/>
    <n v="3"/>
    <n v="59.37"/>
    <n v="0.03"/>
    <s v="PayPal"/>
    <x v="1429"/>
  </r>
  <r>
    <s v="SALE1433"/>
    <d v="2025-01-29T00:00:00"/>
    <s v="CUST1036"/>
    <s v="PROD40"/>
    <x v="8"/>
    <n v="3"/>
    <n v="765.21"/>
    <n v="0.14000000000000001"/>
    <s v="COD"/>
    <x v="1430"/>
  </r>
  <r>
    <s v="SALE1434"/>
    <d v="2024-06-29T00:00:00"/>
    <s v="CUST1243"/>
    <s v="PROD32"/>
    <x v="18"/>
    <n v="4"/>
    <n v="303.56"/>
    <n v="0.2"/>
    <s v="COD"/>
    <x v="1431"/>
  </r>
  <r>
    <s v="SALE1435"/>
    <d v="2025-05-02T00:00:00"/>
    <s v="CUST1443"/>
    <s v="PROD27"/>
    <x v="6"/>
    <n v="1"/>
    <n v="640.92999999999995"/>
    <n v="0.19"/>
    <s v="PayPal"/>
    <x v="1432"/>
  </r>
  <r>
    <s v="SALE1436"/>
    <d v="2025-06-22T00:00:00"/>
    <s v="CUST1174"/>
    <s v="PROD86"/>
    <x v="15"/>
    <n v="2"/>
    <n v="611.25"/>
    <n v="0.22"/>
    <s v="Credit Card"/>
    <x v="1433"/>
  </r>
  <r>
    <s v="SALE1437"/>
    <d v="2025-04-09T00:00:00"/>
    <s v="CUST1461"/>
    <s v="PROD66"/>
    <x v="8"/>
    <n v="1"/>
    <n v="209.93"/>
    <n v="0.21"/>
    <s v="Credit Card"/>
    <x v="1434"/>
  </r>
  <r>
    <s v="SALE1438"/>
    <d v="2025-07-09T00:00:00"/>
    <s v="CUST1110"/>
    <s v="PROD99"/>
    <x v="15"/>
    <n v="3"/>
    <n v="130.38999999999999"/>
    <n v="0.24"/>
    <s v="PayPal"/>
    <x v="1435"/>
  </r>
  <r>
    <s v="SALE1439"/>
    <d v="2024-01-31T00:00:00"/>
    <s v="CUST1291"/>
    <s v="PROD93"/>
    <x v="4"/>
    <n v="2"/>
    <n v="846.18"/>
    <n v="0.1"/>
    <s v="COD"/>
    <x v="1436"/>
  </r>
  <r>
    <s v="SALE1440"/>
    <d v="2025-06-21T00:00:00"/>
    <s v="CUST1354"/>
    <s v="PROD70"/>
    <x v="7"/>
    <n v="2"/>
    <n v="424.53"/>
    <n v="0.14000000000000001"/>
    <s v="COD"/>
    <x v="1437"/>
  </r>
  <r>
    <s v="SALE1441"/>
    <d v="2024-09-04T00:00:00"/>
    <s v="CUST1258"/>
    <s v="PROD88"/>
    <x v="7"/>
    <n v="4"/>
    <n v="450.42"/>
    <n v="0.08"/>
    <s v="COD"/>
    <x v="1438"/>
  </r>
  <r>
    <s v="SALE1442"/>
    <d v="2025-08-24T00:00:00"/>
    <s v="CUST1156"/>
    <s v="PROD26"/>
    <x v="11"/>
    <n v="4"/>
    <n v="896.91"/>
    <n v="0.1"/>
    <s v="Credit Card"/>
    <x v="1439"/>
  </r>
  <r>
    <s v="SALE1443"/>
    <d v="2025-06-06T00:00:00"/>
    <s v="CUST1485"/>
    <s v="PROD97"/>
    <x v="15"/>
    <n v="3"/>
    <n v="679.38"/>
    <n v="0.3"/>
    <s v="COD"/>
    <x v="1440"/>
  </r>
  <r>
    <s v="SALE1444"/>
    <d v="2024-10-06T00:00:00"/>
    <s v="CUST1016"/>
    <s v="PROD80"/>
    <x v="9"/>
    <n v="3"/>
    <n v="483.63"/>
    <n v="0"/>
    <s v="Credit Card"/>
    <x v="1441"/>
  </r>
  <r>
    <s v="SALE1445"/>
    <d v="2024-09-07T00:00:00"/>
    <s v="CUST1030"/>
    <s v="PROD39"/>
    <x v="6"/>
    <n v="3"/>
    <n v="158.27000000000001"/>
    <n v="0.24"/>
    <s v="COD"/>
    <x v="1442"/>
  </r>
  <r>
    <s v="SALE1446"/>
    <d v="2025-04-11T00:00:00"/>
    <s v="CUST1115"/>
    <s v="PROD2"/>
    <x v="10"/>
    <n v="4"/>
    <n v="601.5"/>
    <n v="0.18"/>
    <s v="Credit Card"/>
    <x v="1443"/>
  </r>
  <r>
    <s v="SALE1447"/>
    <d v="2025-02-21T00:00:00"/>
    <s v="CUST1069"/>
    <s v="PROD31"/>
    <x v="14"/>
    <n v="2"/>
    <n v="46.39"/>
    <n v="7.0000000000000007E-2"/>
    <s v="Credit Card"/>
    <x v="1444"/>
  </r>
  <r>
    <s v="SALE1448"/>
    <d v="2024-10-22T00:00:00"/>
    <s v="CUST1119"/>
    <s v="PROD82"/>
    <x v="2"/>
    <n v="4"/>
    <n v="892.28"/>
    <n v="0.23"/>
    <s v="Credit Card"/>
    <x v="1445"/>
  </r>
  <r>
    <s v="SALE1449"/>
    <d v="2024-07-21T00:00:00"/>
    <s v="CUST1221"/>
    <s v="PROD10"/>
    <x v="4"/>
    <n v="2"/>
    <n v="164.23"/>
    <n v="0.17"/>
    <s v="Credit Card"/>
    <x v="1446"/>
  </r>
  <r>
    <s v="SALE1450"/>
    <d v="2024-01-14T00:00:00"/>
    <s v="CUST1452"/>
    <s v="PROD9"/>
    <x v="4"/>
    <n v="1"/>
    <n v="484.23"/>
    <n v="0.12"/>
    <s v="COD"/>
    <x v="1447"/>
  </r>
  <r>
    <s v="SALE1451"/>
    <d v="2024-04-01T00:00:00"/>
    <s v="CUST1005"/>
    <s v="PROD35"/>
    <x v="14"/>
    <n v="3"/>
    <n v="341.51"/>
    <n v="0.22"/>
    <s v="COD"/>
    <x v="1448"/>
  </r>
  <r>
    <s v="SALE1452"/>
    <d v="2025-05-11T00:00:00"/>
    <s v="CUST1109"/>
    <s v="PROD98"/>
    <x v="13"/>
    <n v="3"/>
    <n v="758.87"/>
    <n v="0.11"/>
    <s v="PayPal"/>
    <x v="1449"/>
  </r>
  <r>
    <s v="SALE1453"/>
    <d v="2025-07-17T00:00:00"/>
    <s v="CUST1470"/>
    <s v="PROD56"/>
    <x v="18"/>
    <n v="3"/>
    <n v="560.52"/>
    <n v="0.17"/>
    <s v="Credit Card"/>
    <x v="1450"/>
  </r>
  <r>
    <s v="SALE1454"/>
    <d v="2024-08-29T00:00:00"/>
    <s v="CUST1351"/>
    <s v="PROD96"/>
    <x v="1"/>
    <n v="2"/>
    <n v="977.18"/>
    <n v="0.19"/>
    <s v="Credit Card"/>
    <x v="1451"/>
  </r>
  <r>
    <s v="SALE1455"/>
    <d v="2025-04-16T00:00:00"/>
    <s v="CUST1236"/>
    <s v="PROD16"/>
    <x v="7"/>
    <n v="4"/>
    <n v="761.35"/>
    <n v="0.08"/>
    <s v="Credit Card"/>
    <x v="1452"/>
  </r>
  <r>
    <s v="SALE1456"/>
    <d v="2025-08-31T00:00:00"/>
    <s v="CUST1179"/>
    <s v="PROD67"/>
    <x v="14"/>
    <n v="2"/>
    <n v="947.56"/>
    <n v="0.02"/>
    <s v="COD"/>
    <x v="1453"/>
  </r>
  <r>
    <s v="SALE1457"/>
    <d v="2025-10-13T00:00:00"/>
    <s v="CUST1238"/>
    <s v="PROD43"/>
    <x v="14"/>
    <n v="4"/>
    <n v="975.47"/>
    <n v="0.04"/>
    <s v="Credit Card"/>
    <x v="1454"/>
  </r>
  <r>
    <s v="SALE1458"/>
    <d v="2024-06-05T00:00:00"/>
    <s v="CUST1477"/>
    <s v="PROD13"/>
    <x v="11"/>
    <n v="3"/>
    <n v="769.06"/>
    <n v="0.23"/>
    <s v="COD"/>
    <x v="1455"/>
  </r>
  <r>
    <s v="SALE1459"/>
    <d v="2025-09-29T00:00:00"/>
    <s v="CUST1486"/>
    <s v="PROD39"/>
    <x v="17"/>
    <n v="3"/>
    <n v="824.75"/>
    <n v="0.23"/>
    <s v="Credit Card"/>
    <x v="1456"/>
  </r>
  <r>
    <s v="SALE1460"/>
    <d v="2024-07-05T00:00:00"/>
    <s v="CUST1401"/>
    <s v="PROD68"/>
    <x v="5"/>
    <n v="2"/>
    <n v="821.35"/>
    <n v="0.11"/>
    <s v="PayPal"/>
    <x v="1457"/>
  </r>
  <r>
    <s v="SALE1461"/>
    <d v="2025-03-07T00:00:00"/>
    <s v="CUST1405"/>
    <s v="PROD13"/>
    <x v="15"/>
    <n v="1"/>
    <n v="120.57"/>
    <n v="0.06"/>
    <s v="PayPal"/>
    <x v="1458"/>
  </r>
  <r>
    <s v="SALE1462"/>
    <d v="2023-11-10T00:00:00"/>
    <s v="CUST1335"/>
    <s v="PROD89"/>
    <x v="8"/>
    <n v="1"/>
    <n v="122.27"/>
    <n v="0.26"/>
    <s v="PayPal"/>
    <x v="1459"/>
  </r>
  <r>
    <s v="SALE1463"/>
    <d v="2025-08-21T00:00:00"/>
    <s v="CUST1170"/>
    <s v="PROD26"/>
    <x v="17"/>
    <n v="2"/>
    <n v="182.89"/>
    <n v="0.11"/>
    <s v="Credit Card"/>
    <x v="1460"/>
  </r>
  <r>
    <s v="SALE1464"/>
    <d v="2025-05-19T00:00:00"/>
    <s v="CUST1371"/>
    <s v="PROD46"/>
    <x v="5"/>
    <n v="1"/>
    <n v="695.26"/>
    <n v="0.23"/>
    <s v="PayPal"/>
    <x v="1461"/>
  </r>
  <r>
    <s v="SALE1465"/>
    <d v="2025-08-26T00:00:00"/>
    <s v="CUST1027"/>
    <s v="PROD29"/>
    <x v="16"/>
    <n v="2"/>
    <n v="408.8"/>
    <n v="0.17"/>
    <s v="COD"/>
    <x v="1462"/>
  </r>
  <r>
    <s v="SALE1466"/>
    <d v="2025-01-19T00:00:00"/>
    <s v="CUST1226"/>
    <s v="PROD49"/>
    <x v="2"/>
    <n v="3"/>
    <n v="512.15"/>
    <n v="0.12"/>
    <s v="Credit Card"/>
    <x v="1463"/>
  </r>
  <r>
    <s v="SALE1467"/>
    <d v="2024-10-03T00:00:00"/>
    <s v="CUST1409"/>
    <s v="PROD9"/>
    <x v="2"/>
    <n v="3"/>
    <n v="136.4"/>
    <n v="0.15"/>
    <s v="PayPal"/>
    <x v="1464"/>
  </r>
  <r>
    <s v="SALE1468"/>
    <d v="2023-12-12T00:00:00"/>
    <s v="CUST1175"/>
    <s v="PROD6"/>
    <x v="0"/>
    <n v="2"/>
    <n v="42.51"/>
    <n v="0.04"/>
    <s v="COD"/>
    <x v="1465"/>
  </r>
  <r>
    <s v="SALE1469"/>
    <d v="2025-03-02T00:00:00"/>
    <s v="CUST1359"/>
    <s v="PROD75"/>
    <x v="4"/>
    <n v="3"/>
    <n v="582.1"/>
    <n v="0.12"/>
    <s v="PayPal"/>
    <x v="1466"/>
  </r>
  <r>
    <s v="SALE1470"/>
    <d v="2024-03-05T00:00:00"/>
    <s v="CUST1219"/>
    <s v="PROD82"/>
    <x v="1"/>
    <n v="4"/>
    <n v="461.52"/>
    <n v="0"/>
    <s v="COD"/>
    <x v="1467"/>
  </r>
  <r>
    <s v="SALE1471"/>
    <d v="2024-09-17T00:00:00"/>
    <s v="CUST1496"/>
    <s v="PROD16"/>
    <x v="19"/>
    <n v="1"/>
    <n v="558.41999999999996"/>
    <n v="0.03"/>
    <s v="Credit Card"/>
    <x v="1468"/>
  </r>
  <r>
    <s v="SALE1472"/>
    <d v="2023-12-28T00:00:00"/>
    <s v="CUST1263"/>
    <s v="PROD12"/>
    <x v="14"/>
    <n v="4"/>
    <n v="700.98"/>
    <n v="0.12"/>
    <s v="PayPal"/>
    <x v="1469"/>
  </r>
  <r>
    <s v="SALE1473"/>
    <d v="2024-11-09T00:00:00"/>
    <s v="CUST1405"/>
    <s v="PROD85"/>
    <x v="14"/>
    <n v="2"/>
    <n v="227.97"/>
    <n v="0.08"/>
    <s v="COD"/>
    <x v="1470"/>
  </r>
  <r>
    <s v="SALE1474"/>
    <d v="2024-08-12T00:00:00"/>
    <s v="CUST1474"/>
    <s v="PROD39"/>
    <x v="19"/>
    <n v="4"/>
    <n v="278.70999999999998"/>
    <n v="0.2"/>
    <s v="PayPal"/>
    <x v="1471"/>
  </r>
  <r>
    <s v="SALE1475"/>
    <d v="2024-03-28T00:00:00"/>
    <s v="CUST1259"/>
    <s v="PROD99"/>
    <x v="2"/>
    <n v="2"/>
    <n v="916.12"/>
    <n v="0.05"/>
    <s v="PayPal"/>
    <x v="1472"/>
  </r>
  <r>
    <s v="SALE1476"/>
    <d v="2024-10-02T00:00:00"/>
    <s v="CUST1133"/>
    <s v="PROD10"/>
    <x v="18"/>
    <n v="4"/>
    <n v="228.98"/>
    <n v="0.22"/>
    <s v="PayPal"/>
    <x v="1473"/>
  </r>
  <r>
    <s v="SALE1477"/>
    <d v="2024-08-06T00:00:00"/>
    <s v="CUST1234"/>
    <s v="PROD89"/>
    <x v="10"/>
    <n v="4"/>
    <n v="904.82"/>
    <n v="0.09"/>
    <s v="PayPal"/>
    <x v="1474"/>
  </r>
  <r>
    <s v="SALE1478"/>
    <d v="2025-05-29T00:00:00"/>
    <s v="CUST1081"/>
    <s v="PROD23"/>
    <x v="19"/>
    <n v="1"/>
    <n v="588.61"/>
    <n v="0.1"/>
    <s v="PayPal"/>
    <x v="1475"/>
  </r>
  <r>
    <s v="SALE1479"/>
    <d v="2023-11-10T00:00:00"/>
    <s v="CUST1113"/>
    <s v="PROD33"/>
    <x v="0"/>
    <n v="4"/>
    <n v="695.97"/>
    <n v="0.02"/>
    <s v="Credit Card"/>
    <x v="1476"/>
  </r>
  <r>
    <s v="SALE1480"/>
    <d v="2024-01-18T00:00:00"/>
    <s v="CUST1301"/>
    <s v="PROD97"/>
    <x v="19"/>
    <n v="2"/>
    <n v="181.42"/>
    <n v="0.08"/>
    <s v="PayPal"/>
    <x v="1477"/>
  </r>
  <r>
    <s v="SALE1481"/>
    <d v="2024-03-24T00:00:00"/>
    <s v="CUST1023"/>
    <s v="PROD97"/>
    <x v="13"/>
    <n v="1"/>
    <n v="439.55"/>
    <n v="0.28999999999999998"/>
    <s v="COD"/>
    <x v="1478"/>
  </r>
  <r>
    <s v="SALE1482"/>
    <d v="2025-03-17T00:00:00"/>
    <s v="CUST1114"/>
    <s v="PROD55"/>
    <x v="14"/>
    <n v="3"/>
    <n v="471.27"/>
    <n v="0.27"/>
    <s v="COD"/>
    <x v="1479"/>
  </r>
  <r>
    <s v="SALE1483"/>
    <d v="2024-05-23T00:00:00"/>
    <s v="CUST1044"/>
    <s v="PROD59"/>
    <x v="18"/>
    <n v="1"/>
    <n v="758.89"/>
    <n v="0.1"/>
    <s v="Credit Card"/>
    <x v="1480"/>
  </r>
  <r>
    <s v="SALE1484"/>
    <d v="2025-07-26T00:00:00"/>
    <s v="CUST1485"/>
    <s v="PROD95"/>
    <x v="10"/>
    <n v="4"/>
    <n v="918.1"/>
    <n v="0.19"/>
    <s v="COD"/>
    <x v="1481"/>
  </r>
  <r>
    <s v="SALE1485"/>
    <d v="2024-10-04T00:00:00"/>
    <s v="CUST1259"/>
    <s v="PROD94"/>
    <x v="19"/>
    <n v="1"/>
    <n v="861.5"/>
    <n v="0.05"/>
    <s v="COD"/>
    <x v="1482"/>
  </r>
  <r>
    <s v="SALE1486"/>
    <d v="2025-01-07T00:00:00"/>
    <s v="CUST1462"/>
    <s v="PROD22"/>
    <x v="7"/>
    <n v="1"/>
    <n v="588.29999999999995"/>
    <n v="0.26"/>
    <s v="COD"/>
    <x v="1483"/>
  </r>
  <r>
    <s v="SALE1487"/>
    <d v="2024-12-19T00:00:00"/>
    <s v="CUST1462"/>
    <s v="PROD55"/>
    <x v="4"/>
    <n v="1"/>
    <n v="917.26"/>
    <n v="0.05"/>
    <s v="PayPal"/>
    <x v="1484"/>
  </r>
  <r>
    <s v="SALE1488"/>
    <d v="2024-06-06T00:00:00"/>
    <s v="CUST1233"/>
    <s v="PROD6"/>
    <x v="14"/>
    <n v="4"/>
    <n v="96.78"/>
    <n v="0.11"/>
    <s v="PayPal"/>
    <x v="1485"/>
  </r>
  <r>
    <s v="SALE1489"/>
    <d v="2024-12-03T00:00:00"/>
    <s v="CUST1478"/>
    <s v="PROD28"/>
    <x v="5"/>
    <n v="3"/>
    <n v="199.41"/>
    <n v="0.16"/>
    <s v="COD"/>
    <x v="1486"/>
  </r>
  <r>
    <s v="SALE1490"/>
    <d v="2025-03-23T00:00:00"/>
    <s v="CUST1019"/>
    <s v="PROD54"/>
    <x v="11"/>
    <n v="1"/>
    <n v="687.91"/>
    <n v="0.25"/>
    <s v="Credit Card"/>
    <x v="1487"/>
  </r>
  <r>
    <s v="SALE1491"/>
    <d v="2025-07-11T00:00:00"/>
    <s v="CUST1039"/>
    <s v="PROD71"/>
    <x v="17"/>
    <n v="3"/>
    <n v="769.62"/>
    <n v="0.09"/>
    <s v="PayPal"/>
    <x v="1488"/>
  </r>
  <r>
    <s v="SALE1492"/>
    <d v="2023-10-31T00:00:00"/>
    <s v="CUST1220"/>
    <s v="PROD4"/>
    <x v="0"/>
    <n v="1"/>
    <n v="492.05"/>
    <n v="0.27"/>
    <s v="Credit Card"/>
    <x v="1489"/>
  </r>
  <r>
    <s v="SALE1493"/>
    <d v="2024-01-01T00:00:00"/>
    <s v="CUST1104"/>
    <s v="PROD17"/>
    <x v="18"/>
    <n v="2"/>
    <n v="428.55"/>
    <n v="0"/>
    <s v="PayPal"/>
    <x v="1490"/>
  </r>
  <r>
    <s v="SALE1494"/>
    <d v="2023-11-21T00:00:00"/>
    <s v="CUST1229"/>
    <s v="PROD10"/>
    <x v="10"/>
    <n v="4"/>
    <n v="316.18"/>
    <n v="0.12"/>
    <s v="Credit Card"/>
    <x v="1491"/>
  </r>
  <r>
    <s v="SALE1495"/>
    <d v="2024-09-20T00:00:00"/>
    <s v="CUST1007"/>
    <s v="PROD13"/>
    <x v="0"/>
    <n v="3"/>
    <n v="162.16999999999999"/>
    <n v="0.15"/>
    <s v="PayPal"/>
    <x v="1492"/>
  </r>
  <r>
    <s v="SALE1496"/>
    <d v="2024-04-03T00:00:00"/>
    <s v="CUST1331"/>
    <s v="PROD4"/>
    <x v="0"/>
    <n v="3"/>
    <n v="698.14"/>
    <n v="0.04"/>
    <s v="PayPal"/>
    <x v="1493"/>
  </r>
  <r>
    <s v="SALE1497"/>
    <d v="2025-05-10T00:00:00"/>
    <s v="CUST1310"/>
    <s v="PROD74"/>
    <x v="14"/>
    <n v="1"/>
    <n v="478.08"/>
    <n v="7.0000000000000007E-2"/>
    <s v="COD"/>
    <x v="1494"/>
  </r>
  <r>
    <s v="SALE1498"/>
    <d v="2025-06-14T00:00:00"/>
    <s v="CUST1208"/>
    <s v="PROD59"/>
    <x v="4"/>
    <n v="2"/>
    <n v="958.64"/>
    <n v="0.2"/>
    <s v="PayPal"/>
    <x v="1495"/>
  </r>
  <r>
    <s v="SALE1499"/>
    <d v="2024-10-25T00:00:00"/>
    <s v="CUST1464"/>
    <s v="PROD41"/>
    <x v="18"/>
    <n v="2"/>
    <n v="581.19000000000005"/>
    <n v="7.0000000000000007E-2"/>
    <s v="COD"/>
    <x v="1496"/>
  </r>
  <r>
    <s v="SALE1500"/>
    <d v="2024-11-22T00:00:00"/>
    <s v="CUST1112"/>
    <s v="PROD99"/>
    <x v="19"/>
    <n v="1"/>
    <n v="736.54"/>
    <n v="0.16"/>
    <s v="PayPal"/>
    <x v="1497"/>
  </r>
  <r>
    <s v="SALE1501"/>
    <d v="2024-10-21T00:00:00"/>
    <s v="CUST1401"/>
    <s v="PROD65"/>
    <x v="10"/>
    <n v="1"/>
    <n v="524"/>
    <n v="0.28000000000000003"/>
    <s v="Credit Card"/>
    <x v="1498"/>
  </r>
  <r>
    <s v="SALE1502"/>
    <d v="2024-09-13T00:00:00"/>
    <s v="CUST1046"/>
    <s v="PROD28"/>
    <x v="0"/>
    <n v="4"/>
    <n v="566.09"/>
    <n v="0.28000000000000003"/>
    <s v="COD"/>
    <x v="1499"/>
  </r>
  <r>
    <s v="SALE1503"/>
    <d v="2025-04-25T00:00:00"/>
    <s v="CUST1259"/>
    <s v="PROD21"/>
    <x v="15"/>
    <n v="1"/>
    <n v="251.99"/>
    <n v="0.09"/>
    <s v="Credit Card"/>
    <x v="1500"/>
  </r>
  <r>
    <s v="SALE1504"/>
    <d v="2024-03-10T00:00:00"/>
    <s v="CUST1221"/>
    <s v="PROD17"/>
    <x v="12"/>
    <n v="1"/>
    <n v="259.2"/>
    <n v="0.27"/>
    <s v="COD"/>
    <x v="1501"/>
  </r>
  <r>
    <s v="SALE1505"/>
    <d v="2023-11-05T00:00:00"/>
    <s v="CUST1446"/>
    <s v="PROD59"/>
    <x v="10"/>
    <n v="1"/>
    <n v="935.66"/>
    <n v="0.26"/>
    <s v="PayPal"/>
    <x v="1502"/>
  </r>
  <r>
    <s v="SALE1506"/>
    <d v="2025-07-26T00:00:00"/>
    <s v="CUST1469"/>
    <s v="PROD35"/>
    <x v="2"/>
    <n v="4"/>
    <n v="480.75"/>
    <n v="0.02"/>
    <s v="Credit Card"/>
    <x v="1503"/>
  </r>
  <r>
    <s v="SALE1507"/>
    <d v="2025-01-24T00:00:00"/>
    <s v="CUST1369"/>
    <s v="PROD81"/>
    <x v="10"/>
    <n v="2"/>
    <n v="457.83"/>
    <n v="0.01"/>
    <s v="COD"/>
    <x v="1504"/>
  </r>
  <r>
    <s v="SALE1508"/>
    <d v="2025-09-05T00:00:00"/>
    <s v="CUST1164"/>
    <s v="PROD48"/>
    <x v="7"/>
    <n v="1"/>
    <n v="994.63"/>
    <n v="0.28000000000000003"/>
    <s v="Credit Card"/>
    <x v="1505"/>
  </r>
  <r>
    <s v="SALE1509"/>
    <d v="2025-04-18T00:00:00"/>
    <s v="CUST1245"/>
    <s v="PROD90"/>
    <x v="6"/>
    <n v="3"/>
    <n v="65.569999999999993"/>
    <n v="0.3"/>
    <s v="COD"/>
    <x v="1506"/>
  </r>
  <r>
    <s v="SALE1510"/>
    <d v="2025-06-13T00:00:00"/>
    <s v="CUST1160"/>
    <s v="PROD58"/>
    <x v="1"/>
    <n v="3"/>
    <n v="622.98"/>
    <n v="0.28000000000000003"/>
    <s v="PayPal"/>
    <x v="1507"/>
  </r>
  <r>
    <s v="SALE1511"/>
    <d v="2025-02-03T00:00:00"/>
    <s v="CUST1250"/>
    <s v="PROD55"/>
    <x v="13"/>
    <n v="1"/>
    <n v="170.68"/>
    <n v="0.13"/>
    <s v="PayPal"/>
    <x v="1508"/>
  </r>
  <r>
    <s v="SALE1512"/>
    <d v="2025-07-22T00:00:00"/>
    <s v="CUST1096"/>
    <s v="PROD7"/>
    <x v="2"/>
    <n v="4"/>
    <n v="797.83"/>
    <n v="0.08"/>
    <s v="Credit Card"/>
    <x v="1509"/>
  </r>
  <r>
    <s v="SALE1513"/>
    <d v="2025-09-22T00:00:00"/>
    <s v="CUST1098"/>
    <s v="PROD2"/>
    <x v="9"/>
    <n v="1"/>
    <n v="372.75"/>
    <n v="0.12"/>
    <s v="Credit Card"/>
    <x v="1510"/>
  </r>
  <r>
    <s v="SALE1514"/>
    <d v="2024-07-04T00:00:00"/>
    <s v="CUST1396"/>
    <s v="PROD61"/>
    <x v="5"/>
    <n v="1"/>
    <n v="994.18"/>
    <n v="0.05"/>
    <s v="PayPal"/>
    <x v="1511"/>
  </r>
  <r>
    <s v="SALE1515"/>
    <d v="2024-07-31T00:00:00"/>
    <s v="CUST1422"/>
    <s v="PROD20"/>
    <x v="13"/>
    <n v="1"/>
    <n v="136.12"/>
    <n v="7.0000000000000007E-2"/>
    <s v="Credit Card"/>
    <x v="1512"/>
  </r>
  <r>
    <s v="SALE1516"/>
    <d v="2025-07-24T00:00:00"/>
    <s v="CUST1030"/>
    <s v="PROD52"/>
    <x v="14"/>
    <n v="3"/>
    <n v="634.45000000000005"/>
    <n v="0.17"/>
    <s v="PayPal"/>
    <x v="1513"/>
  </r>
  <r>
    <s v="SALE1517"/>
    <d v="2024-10-14T00:00:00"/>
    <s v="CUST1329"/>
    <s v="PROD64"/>
    <x v="6"/>
    <n v="4"/>
    <n v="179.62"/>
    <n v="0.05"/>
    <s v="Credit Card"/>
    <x v="1514"/>
  </r>
  <r>
    <s v="SALE1518"/>
    <d v="2025-01-01T00:00:00"/>
    <s v="CUST1294"/>
    <s v="PROD20"/>
    <x v="14"/>
    <n v="4"/>
    <n v="558.83000000000004"/>
    <n v="0.16"/>
    <s v="PayPal"/>
    <x v="1515"/>
  </r>
  <r>
    <s v="SALE1519"/>
    <d v="2025-01-07T00:00:00"/>
    <s v="CUST1171"/>
    <s v="PROD94"/>
    <x v="16"/>
    <n v="2"/>
    <n v="859.74"/>
    <n v="0.25"/>
    <s v="COD"/>
    <x v="1516"/>
  </r>
  <r>
    <s v="SALE1520"/>
    <d v="2025-10-06T00:00:00"/>
    <s v="CUST1106"/>
    <s v="PROD65"/>
    <x v="9"/>
    <n v="3"/>
    <n v="578.47"/>
    <n v="0.06"/>
    <s v="COD"/>
    <x v="1517"/>
  </r>
  <r>
    <s v="SALE1521"/>
    <d v="2024-02-22T00:00:00"/>
    <s v="CUST1055"/>
    <s v="PROD21"/>
    <x v="18"/>
    <n v="1"/>
    <n v="440.48"/>
    <n v="0.11"/>
    <s v="COD"/>
    <x v="1518"/>
  </r>
  <r>
    <s v="SALE1522"/>
    <d v="2024-02-07T00:00:00"/>
    <s v="CUST1016"/>
    <s v="PROD16"/>
    <x v="12"/>
    <n v="2"/>
    <n v="303.67"/>
    <n v="0.05"/>
    <s v="PayPal"/>
    <x v="1519"/>
  </r>
  <r>
    <s v="SALE1523"/>
    <d v="2025-08-26T00:00:00"/>
    <s v="CUST1336"/>
    <s v="PROD74"/>
    <x v="7"/>
    <n v="2"/>
    <n v="611.21"/>
    <n v="0.22"/>
    <s v="COD"/>
    <x v="1520"/>
  </r>
  <r>
    <s v="SALE1524"/>
    <d v="2023-11-09T00:00:00"/>
    <s v="CUST1202"/>
    <s v="PROD39"/>
    <x v="10"/>
    <n v="2"/>
    <n v="768.08"/>
    <n v="0.26"/>
    <s v="PayPal"/>
    <x v="1521"/>
  </r>
  <r>
    <s v="SALE1525"/>
    <d v="2024-01-05T00:00:00"/>
    <s v="CUST1296"/>
    <s v="PROD23"/>
    <x v="14"/>
    <n v="1"/>
    <n v="616.82000000000005"/>
    <n v="0.24"/>
    <s v="Credit Card"/>
    <x v="1522"/>
  </r>
  <r>
    <s v="SALE1526"/>
    <d v="2025-01-15T00:00:00"/>
    <s v="CUST1183"/>
    <s v="PROD40"/>
    <x v="14"/>
    <n v="1"/>
    <n v="470.34"/>
    <n v="0.18"/>
    <s v="COD"/>
    <x v="1523"/>
  </r>
  <r>
    <s v="SALE1527"/>
    <d v="2024-07-26T00:00:00"/>
    <s v="CUST1219"/>
    <s v="PROD53"/>
    <x v="2"/>
    <n v="2"/>
    <n v="616.36"/>
    <n v="0.12"/>
    <s v="PayPal"/>
    <x v="1524"/>
  </r>
  <r>
    <s v="SALE1528"/>
    <d v="2024-05-22T00:00:00"/>
    <s v="CUST1082"/>
    <s v="PROD3"/>
    <x v="11"/>
    <n v="3"/>
    <n v="657.24"/>
    <n v="0.18"/>
    <s v="PayPal"/>
    <x v="1525"/>
  </r>
  <r>
    <s v="SALE1529"/>
    <d v="2025-08-24T00:00:00"/>
    <s v="CUST1034"/>
    <s v="PROD41"/>
    <x v="12"/>
    <n v="2"/>
    <n v="392.45"/>
    <n v="0.04"/>
    <s v="PayPal"/>
    <x v="1526"/>
  </r>
  <r>
    <s v="SALE1530"/>
    <d v="2024-02-24T00:00:00"/>
    <s v="CUST1245"/>
    <s v="PROD40"/>
    <x v="7"/>
    <n v="3"/>
    <n v="62.03"/>
    <n v="0.01"/>
    <s v="COD"/>
    <x v="1527"/>
  </r>
  <r>
    <s v="SALE1531"/>
    <d v="2024-11-17T00:00:00"/>
    <s v="CUST1092"/>
    <s v="PROD96"/>
    <x v="0"/>
    <n v="4"/>
    <n v="933.73"/>
    <n v="0.25"/>
    <s v="PayPal"/>
    <x v="1528"/>
  </r>
  <r>
    <s v="SALE1532"/>
    <d v="2025-09-28T00:00:00"/>
    <s v="CUST1155"/>
    <s v="PROD85"/>
    <x v="9"/>
    <n v="3"/>
    <n v="615.30999999999995"/>
    <n v="0.14000000000000001"/>
    <s v="PayPal"/>
    <x v="1529"/>
  </r>
  <r>
    <s v="SALE1533"/>
    <d v="2024-11-23T00:00:00"/>
    <s v="CUST1373"/>
    <s v="PROD59"/>
    <x v="14"/>
    <n v="4"/>
    <n v="790.38"/>
    <n v="0.22"/>
    <s v="COD"/>
    <x v="1530"/>
  </r>
  <r>
    <s v="SALE1534"/>
    <d v="2024-08-29T00:00:00"/>
    <s v="CUST1269"/>
    <s v="PROD59"/>
    <x v="1"/>
    <n v="2"/>
    <n v="102.85"/>
    <n v="0.08"/>
    <s v="PayPal"/>
    <x v="1531"/>
  </r>
  <r>
    <s v="SALE1535"/>
    <d v="2025-05-04T00:00:00"/>
    <s v="CUST1039"/>
    <s v="PROD11"/>
    <x v="9"/>
    <n v="3"/>
    <n v="866.78"/>
    <n v="0.27"/>
    <s v="PayPal"/>
    <x v="1532"/>
  </r>
  <r>
    <s v="SALE1536"/>
    <d v="2024-03-27T00:00:00"/>
    <s v="CUST1208"/>
    <s v="PROD78"/>
    <x v="9"/>
    <n v="3"/>
    <n v="392.84"/>
    <n v="0.27"/>
    <s v="PayPal"/>
    <x v="1533"/>
  </r>
  <r>
    <s v="SALE1537"/>
    <d v="2025-01-31T00:00:00"/>
    <s v="CUST1323"/>
    <s v="PROD9"/>
    <x v="3"/>
    <n v="2"/>
    <n v="753.1"/>
    <n v="0.19"/>
    <s v="PayPal"/>
    <x v="1534"/>
  </r>
  <r>
    <s v="SALE1538"/>
    <d v="2025-09-27T00:00:00"/>
    <s v="CUST1007"/>
    <s v="PROD54"/>
    <x v="1"/>
    <n v="2"/>
    <n v="700.91"/>
    <n v="0.1"/>
    <s v="PayPal"/>
    <x v="1535"/>
  </r>
  <r>
    <s v="SALE1539"/>
    <d v="2025-04-28T00:00:00"/>
    <s v="CUST1072"/>
    <s v="PROD15"/>
    <x v="18"/>
    <n v="4"/>
    <n v="935.98"/>
    <n v="0.11"/>
    <s v="PayPal"/>
    <x v="1536"/>
  </r>
  <r>
    <s v="SALE1540"/>
    <d v="2025-07-11T00:00:00"/>
    <s v="CUST1485"/>
    <s v="PROD76"/>
    <x v="9"/>
    <n v="1"/>
    <n v="539.9"/>
    <n v="7.0000000000000007E-2"/>
    <s v="Credit Card"/>
    <x v="1537"/>
  </r>
  <r>
    <s v="SALE1541"/>
    <d v="2024-10-08T00:00:00"/>
    <s v="CUST1171"/>
    <s v="PROD40"/>
    <x v="16"/>
    <n v="1"/>
    <n v="312.81"/>
    <n v="0.14000000000000001"/>
    <s v="PayPal"/>
    <x v="1538"/>
  </r>
  <r>
    <s v="SALE1542"/>
    <d v="2024-03-05T00:00:00"/>
    <s v="CUST1249"/>
    <s v="PROD48"/>
    <x v="4"/>
    <n v="3"/>
    <n v="855.96"/>
    <n v="0.28999999999999998"/>
    <s v="COD"/>
    <x v="1539"/>
  </r>
  <r>
    <s v="SALE1543"/>
    <d v="2024-02-04T00:00:00"/>
    <s v="CUST1355"/>
    <s v="PROD1"/>
    <x v="19"/>
    <n v="3"/>
    <n v="305"/>
    <n v="0.01"/>
    <s v="COD"/>
    <x v="1540"/>
  </r>
  <r>
    <s v="SALE1544"/>
    <d v="2024-03-10T00:00:00"/>
    <s v="CUST1468"/>
    <s v="PROD99"/>
    <x v="18"/>
    <n v="3"/>
    <n v="831.15"/>
    <n v="0.19"/>
    <s v="Credit Card"/>
    <x v="1541"/>
  </r>
  <r>
    <s v="SALE1545"/>
    <d v="2025-09-26T00:00:00"/>
    <s v="CUST1207"/>
    <s v="PROD96"/>
    <x v="0"/>
    <n v="2"/>
    <n v="644.97"/>
    <n v="0.24"/>
    <s v="COD"/>
    <x v="1542"/>
  </r>
  <r>
    <s v="SALE1546"/>
    <d v="2025-07-01T00:00:00"/>
    <s v="CUST1095"/>
    <s v="PROD88"/>
    <x v="8"/>
    <n v="1"/>
    <n v="149.56"/>
    <n v="0.09"/>
    <s v="Credit Card"/>
    <x v="1543"/>
  </r>
  <r>
    <s v="SALE1547"/>
    <d v="2024-05-22T00:00:00"/>
    <s v="CUST1217"/>
    <s v="PROD43"/>
    <x v="12"/>
    <n v="1"/>
    <n v="661.77"/>
    <n v="0.03"/>
    <s v="PayPal"/>
    <x v="1544"/>
  </r>
  <r>
    <s v="SALE1548"/>
    <d v="2025-06-11T00:00:00"/>
    <s v="CUST1108"/>
    <s v="PROD94"/>
    <x v="4"/>
    <n v="3"/>
    <n v="99.67"/>
    <n v="0.17"/>
    <s v="Credit Card"/>
    <x v="1545"/>
  </r>
  <r>
    <s v="SALE1549"/>
    <d v="2024-09-18T00:00:00"/>
    <s v="CUST1221"/>
    <s v="PROD62"/>
    <x v="8"/>
    <n v="3"/>
    <n v="103.66"/>
    <n v="0.26"/>
    <s v="COD"/>
    <x v="1546"/>
  </r>
  <r>
    <s v="SALE1550"/>
    <d v="2023-11-28T00:00:00"/>
    <s v="CUST1436"/>
    <s v="PROD40"/>
    <x v="17"/>
    <n v="4"/>
    <n v="54.4"/>
    <n v="0.22"/>
    <s v="Credit Card"/>
    <x v="1547"/>
  </r>
  <r>
    <s v="SALE1551"/>
    <d v="2024-05-23T00:00:00"/>
    <s v="CUST1490"/>
    <s v="PROD84"/>
    <x v="7"/>
    <n v="1"/>
    <n v="46.66"/>
    <n v="0.2"/>
    <s v="Credit Card"/>
    <x v="1548"/>
  </r>
  <r>
    <s v="SALE1552"/>
    <d v="2024-06-04T00:00:00"/>
    <s v="CUST1007"/>
    <s v="PROD73"/>
    <x v="19"/>
    <n v="4"/>
    <n v="871.2"/>
    <n v="0.28999999999999998"/>
    <s v="Credit Card"/>
    <x v="1549"/>
  </r>
  <r>
    <s v="SALE1553"/>
    <d v="2025-03-08T00:00:00"/>
    <s v="CUST1379"/>
    <s v="PROD18"/>
    <x v="7"/>
    <n v="4"/>
    <n v="317.11"/>
    <n v="0.16"/>
    <s v="PayPal"/>
    <x v="1550"/>
  </r>
  <r>
    <s v="SALE1554"/>
    <d v="2024-02-16T00:00:00"/>
    <s v="CUST1258"/>
    <s v="PROD25"/>
    <x v="13"/>
    <n v="2"/>
    <n v="388.34"/>
    <n v="0.09"/>
    <s v="PayPal"/>
    <x v="1551"/>
  </r>
  <r>
    <s v="SALE1555"/>
    <d v="2023-11-22T00:00:00"/>
    <s v="CUST1319"/>
    <s v="PROD30"/>
    <x v="16"/>
    <n v="4"/>
    <n v="998.2"/>
    <n v="0.15"/>
    <s v="Credit Card"/>
    <x v="1552"/>
  </r>
  <r>
    <s v="SALE1556"/>
    <d v="2024-11-10T00:00:00"/>
    <s v="CUST1493"/>
    <s v="PROD36"/>
    <x v="6"/>
    <n v="1"/>
    <n v="887.38"/>
    <n v="0.01"/>
    <s v="COD"/>
    <x v="1553"/>
  </r>
  <r>
    <s v="SALE1557"/>
    <d v="2024-08-20T00:00:00"/>
    <s v="CUST1312"/>
    <s v="PROD37"/>
    <x v="18"/>
    <n v="4"/>
    <n v="332.97"/>
    <n v="0.28000000000000003"/>
    <s v="Credit Card"/>
    <x v="1554"/>
  </r>
  <r>
    <s v="SALE1558"/>
    <d v="2025-10-04T00:00:00"/>
    <s v="CUST1021"/>
    <s v="PROD46"/>
    <x v="6"/>
    <n v="2"/>
    <n v="157.91"/>
    <n v="0.09"/>
    <s v="COD"/>
    <x v="1555"/>
  </r>
  <r>
    <s v="SALE1559"/>
    <d v="2024-09-04T00:00:00"/>
    <s v="CUST1356"/>
    <s v="PROD12"/>
    <x v="14"/>
    <n v="1"/>
    <n v="548.15"/>
    <n v="0.11"/>
    <s v="Credit Card"/>
    <x v="1556"/>
  </r>
  <r>
    <s v="SALE1560"/>
    <d v="2024-09-20T00:00:00"/>
    <s v="CUST1209"/>
    <s v="PROD48"/>
    <x v="10"/>
    <n v="1"/>
    <n v="135.13"/>
    <n v="0.04"/>
    <s v="Credit Card"/>
    <x v="1557"/>
  </r>
  <r>
    <s v="SALE1561"/>
    <d v="2023-12-21T00:00:00"/>
    <s v="CUST1219"/>
    <s v="PROD56"/>
    <x v="0"/>
    <n v="3"/>
    <n v="579.26"/>
    <n v="0.19"/>
    <s v="Credit Card"/>
    <x v="1558"/>
  </r>
  <r>
    <s v="SALE1562"/>
    <d v="2024-10-17T00:00:00"/>
    <s v="CUST1389"/>
    <s v="PROD17"/>
    <x v="6"/>
    <n v="1"/>
    <n v="465.63"/>
    <n v="0.25"/>
    <s v="Credit Card"/>
    <x v="1559"/>
  </r>
  <r>
    <s v="SALE1563"/>
    <d v="2024-03-21T00:00:00"/>
    <s v="CUST1047"/>
    <s v="PROD76"/>
    <x v="9"/>
    <n v="2"/>
    <n v="675.61"/>
    <n v="0.08"/>
    <s v="COD"/>
    <x v="1560"/>
  </r>
  <r>
    <s v="SALE1564"/>
    <d v="2024-06-15T00:00:00"/>
    <s v="CUST1416"/>
    <s v="PROD33"/>
    <x v="16"/>
    <n v="1"/>
    <n v="718.99"/>
    <n v="0.08"/>
    <s v="PayPal"/>
    <x v="1561"/>
  </r>
  <r>
    <s v="SALE1565"/>
    <d v="2025-10-13T00:00:00"/>
    <s v="CUST1376"/>
    <s v="PROD14"/>
    <x v="15"/>
    <n v="2"/>
    <n v="675.65"/>
    <n v="0.2"/>
    <s v="COD"/>
    <x v="1562"/>
  </r>
  <r>
    <s v="SALE1566"/>
    <d v="2024-03-23T00:00:00"/>
    <s v="CUST1336"/>
    <s v="PROD95"/>
    <x v="10"/>
    <n v="4"/>
    <n v="284.24"/>
    <n v="0.1"/>
    <s v="Credit Card"/>
    <x v="1563"/>
  </r>
  <r>
    <s v="SALE1567"/>
    <d v="2024-03-23T00:00:00"/>
    <s v="CUST1213"/>
    <s v="PROD1"/>
    <x v="0"/>
    <n v="1"/>
    <n v="94.26"/>
    <n v="0.18"/>
    <s v="PayPal"/>
    <x v="1564"/>
  </r>
  <r>
    <s v="SALE1568"/>
    <d v="2025-05-12T00:00:00"/>
    <s v="CUST1416"/>
    <s v="PROD6"/>
    <x v="15"/>
    <n v="4"/>
    <n v="458.58"/>
    <n v="0.28999999999999998"/>
    <s v="COD"/>
    <x v="1565"/>
  </r>
  <r>
    <s v="SALE1569"/>
    <d v="2024-06-09T00:00:00"/>
    <s v="CUST1113"/>
    <s v="PROD65"/>
    <x v="15"/>
    <n v="4"/>
    <n v="704.49"/>
    <n v="0.05"/>
    <s v="COD"/>
    <x v="1566"/>
  </r>
  <r>
    <s v="SALE1570"/>
    <d v="2023-12-24T00:00:00"/>
    <s v="CUST1032"/>
    <s v="PROD27"/>
    <x v="12"/>
    <n v="4"/>
    <n v="822.32"/>
    <n v="0.26"/>
    <s v="PayPal"/>
    <x v="1567"/>
  </r>
  <r>
    <s v="SALE1571"/>
    <d v="2024-02-03T00:00:00"/>
    <s v="CUST1245"/>
    <s v="PROD3"/>
    <x v="13"/>
    <n v="4"/>
    <n v="785.41"/>
    <n v="0.13"/>
    <s v="COD"/>
    <x v="1568"/>
  </r>
  <r>
    <s v="SALE1572"/>
    <d v="2024-06-22T00:00:00"/>
    <s v="CUST1031"/>
    <s v="PROD39"/>
    <x v="7"/>
    <n v="1"/>
    <n v="405.8"/>
    <n v="0.11"/>
    <s v="PayPal"/>
    <x v="1569"/>
  </r>
  <r>
    <s v="SALE1573"/>
    <d v="2024-11-16T00:00:00"/>
    <s v="CUST1433"/>
    <s v="PROD91"/>
    <x v="11"/>
    <n v="2"/>
    <n v="976.83"/>
    <n v="0.1"/>
    <s v="PayPal"/>
    <x v="1570"/>
  </r>
  <r>
    <s v="SALE1574"/>
    <d v="2024-06-29T00:00:00"/>
    <s v="CUST1273"/>
    <s v="PROD64"/>
    <x v="17"/>
    <n v="1"/>
    <n v="644.15"/>
    <n v="0.06"/>
    <s v="Credit Card"/>
    <x v="1571"/>
  </r>
  <r>
    <s v="SALE1575"/>
    <d v="2025-08-28T00:00:00"/>
    <s v="CUST1337"/>
    <s v="PROD67"/>
    <x v="13"/>
    <n v="1"/>
    <n v="470.55"/>
    <n v="0.23"/>
    <s v="PayPal"/>
    <x v="1572"/>
  </r>
  <r>
    <s v="SALE1576"/>
    <d v="2023-11-11T00:00:00"/>
    <s v="CUST1478"/>
    <s v="PROD7"/>
    <x v="16"/>
    <n v="3"/>
    <n v="598.82000000000005"/>
    <n v="0.19"/>
    <s v="COD"/>
    <x v="1573"/>
  </r>
  <r>
    <s v="SALE1577"/>
    <d v="2025-07-13T00:00:00"/>
    <s v="CUST1101"/>
    <s v="PROD20"/>
    <x v="18"/>
    <n v="4"/>
    <n v="659.17"/>
    <n v="0.12"/>
    <s v="Credit Card"/>
    <x v="1574"/>
  </r>
  <r>
    <s v="SALE1578"/>
    <d v="2024-10-07T00:00:00"/>
    <s v="CUST1104"/>
    <s v="PROD46"/>
    <x v="8"/>
    <n v="2"/>
    <n v="216.02"/>
    <n v="0.25"/>
    <s v="Credit Card"/>
    <x v="1575"/>
  </r>
  <r>
    <s v="SALE1579"/>
    <d v="2025-04-27T00:00:00"/>
    <s v="CUST1030"/>
    <s v="PROD31"/>
    <x v="15"/>
    <n v="2"/>
    <n v="613.47"/>
    <n v="0.02"/>
    <s v="PayPal"/>
    <x v="1576"/>
  </r>
  <r>
    <s v="SALE1580"/>
    <d v="2025-09-21T00:00:00"/>
    <s v="CUST1098"/>
    <s v="PROD58"/>
    <x v="18"/>
    <n v="2"/>
    <n v="485.17"/>
    <n v="0.11"/>
    <s v="PayPal"/>
    <x v="1577"/>
  </r>
  <r>
    <s v="SALE1581"/>
    <d v="2023-12-08T00:00:00"/>
    <s v="CUST1307"/>
    <s v="PROD46"/>
    <x v="15"/>
    <n v="1"/>
    <n v="209.7"/>
    <n v="0.2"/>
    <s v="PayPal"/>
    <x v="1578"/>
  </r>
  <r>
    <s v="SALE1582"/>
    <d v="2024-04-20T00:00:00"/>
    <s v="CUST1326"/>
    <s v="PROD92"/>
    <x v="6"/>
    <n v="1"/>
    <n v="681.47"/>
    <n v="0.15"/>
    <s v="Credit Card"/>
    <x v="1579"/>
  </r>
  <r>
    <s v="SALE1583"/>
    <d v="2025-01-10T00:00:00"/>
    <s v="CUST1440"/>
    <s v="PROD76"/>
    <x v="1"/>
    <n v="2"/>
    <n v="877.21"/>
    <n v="0.1"/>
    <s v="Credit Card"/>
    <x v="1580"/>
  </r>
  <r>
    <s v="SALE1584"/>
    <d v="2025-09-02T00:00:00"/>
    <s v="CUST1318"/>
    <s v="PROD78"/>
    <x v="3"/>
    <n v="2"/>
    <n v="479.77"/>
    <n v="0.21"/>
    <s v="PayPal"/>
    <x v="1581"/>
  </r>
  <r>
    <s v="SALE1585"/>
    <d v="2024-10-24T00:00:00"/>
    <s v="CUST1322"/>
    <s v="PROD83"/>
    <x v="10"/>
    <n v="1"/>
    <n v="140.72"/>
    <n v="0"/>
    <s v="COD"/>
    <x v="1582"/>
  </r>
  <r>
    <s v="SALE1586"/>
    <d v="2025-01-11T00:00:00"/>
    <s v="CUST1027"/>
    <s v="PROD19"/>
    <x v="16"/>
    <n v="2"/>
    <n v="764.25"/>
    <n v="0.23"/>
    <s v="PayPal"/>
    <x v="1583"/>
  </r>
  <r>
    <s v="SALE1587"/>
    <d v="2024-01-09T00:00:00"/>
    <s v="CUST1222"/>
    <s v="PROD83"/>
    <x v="3"/>
    <n v="3"/>
    <n v="107.8"/>
    <n v="0.28999999999999998"/>
    <s v="PayPal"/>
    <x v="1584"/>
  </r>
  <r>
    <s v="SALE1588"/>
    <d v="2025-04-10T00:00:00"/>
    <s v="CUST1147"/>
    <s v="PROD22"/>
    <x v="2"/>
    <n v="4"/>
    <n v="565.37"/>
    <n v="7.0000000000000007E-2"/>
    <s v="PayPal"/>
    <x v="1585"/>
  </r>
  <r>
    <s v="SALE1589"/>
    <d v="2023-11-05T00:00:00"/>
    <s v="CUST1034"/>
    <s v="PROD36"/>
    <x v="5"/>
    <n v="3"/>
    <n v="811.45"/>
    <n v="0.26"/>
    <s v="Credit Card"/>
    <x v="1586"/>
  </r>
  <r>
    <s v="SALE1590"/>
    <d v="2025-04-02T00:00:00"/>
    <s v="CUST1410"/>
    <s v="PROD33"/>
    <x v="12"/>
    <n v="4"/>
    <n v="62.25"/>
    <n v="0.11"/>
    <s v="PayPal"/>
    <x v="1587"/>
  </r>
  <r>
    <s v="SALE1591"/>
    <d v="2025-05-30T00:00:00"/>
    <s v="CUST1025"/>
    <s v="PROD95"/>
    <x v="15"/>
    <n v="1"/>
    <n v="749.78"/>
    <n v="0.03"/>
    <s v="Credit Card"/>
    <x v="1588"/>
  </r>
  <r>
    <s v="SALE1592"/>
    <d v="2024-07-23T00:00:00"/>
    <s v="CUST1350"/>
    <s v="PROD59"/>
    <x v="3"/>
    <n v="3"/>
    <n v="630.28"/>
    <n v="7.0000000000000007E-2"/>
    <s v="COD"/>
    <x v="1589"/>
  </r>
  <r>
    <s v="SALE1593"/>
    <d v="2024-03-04T00:00:00"/>
    <s v="CUST1143"/>
    <s v="PROD30"/>
    <x v="9"/>
    <n v="1"/>
    <n v="101.84"/>
    <n v="0.17"/>
    <s v="Credit Card"/>
    <x v="1590"/>
  </r>
  <r>
    <s v="SALE1594"/>
    <d v="2023-11-26T00:00:00"/>
    <s v="CUST1055"/>
    <s v="PROD24"/>
    <x v="14"/>
    <n v="4"/>
    <n v="641.45000000000005"/>
    <n v="0.16"/>
    <s v="COD"/>
    <x v="1591"/>
  </r>
  <r>
    <s v="SALE1595"/>
    <d v="2025-07-11T00:00:00"/>
    <s v="CUST1471"/>
    <s v="PROD43"/>
    <x v="8"/>
    <n v="1"/>
    <n v="135.87"/>
    <n v="0.23"/>
    <s v="PayPal"/>
    <x v="1592"/>
  </r>
  <r>
    <s v="SALE1596"/>
    <d v="2024-02-22T00:00:00"/>
    <s v="CUST1095"/>
    <s v="PROD21"/>
    <x v="16"/>
    <n v="1"/>
    <n v="388.35"/>
    <n v="0.01"/>
    <s v="PayPal"/>
    <x v="1593"/>
  </r>
  <r>
    <s v="SALE1597"/>
    <d v="2024-03-16T00:00:00"/>
    <s v="CUST1486"/>
    <s v="PROD38"/>
    <x v="11"/>
    <n v="2"/>
    <n v="999.08"/>
    <n v="0.3"/>
    <s v="PayPal"/>
    <x v="1594"/>
  </r>
  <r>
    <s v="SALE1598"/>
    <d v="2025-08-18T00:00:00"/>
    <s v="CUST1170"/>
    <s v="PROD38"/>
    <x v="1"/>
    <n v="3"/>
    <n v="453.19"/>
    <n v="0.08"/>
    <s v="COD"/>
    <x v="1595"/>
  </r>
  <r>
    <s v="SALE1599"/>
    <d v="2024-10-02T00:00:00"/>
    <s v="CUST1235"/>
    <s v="PROD80"/>
    <x v="15"/>
    <n v="2"/>
    <n v="61.31"/>
    <n v="0.15"/>
    <s v="COD"/>
    <x v="1596"/>
  </r>
  <r>
    <s v="SALE1600"/>
    <d v="2023-10-24T00:00:00"/>
    <s v="CUST1342"/>
    <s v="PROD81"/>
    <x v="15"/>
    <n v="2"/>
    <n v="870.13"/>
    <n v="0.23"/>
    <s v="Credit Card"/>
    <x v="1597"/>
  </r>
  <r>
    <s v="SALE1601"/>
    <d v="2025-01-07T00:00:00"/>
    <s v="CUST1067"/>
    <s v="PROD15"/>
    <x v="12"/>
    <n v="1"/>
    <n v="336.51"/>
    <n v="0.11"/>
    <s v="PayPal"/>
    <x v="1598"/>
  </r>
  <r>
    <s v="SALE1602"/>
    <d v="2024-01-22T00:00:00"/>
    <s v="CUST1181"/>
    <s v="PROD67"/>
    <x v="6"/>
    <n v="1"/>
    <n v="305.70999999999998"/>
    <n v="0.26"/>
    <s v="COD"/>
    <x v="1599"/>
  </r>
  <r>
    <s v="SALE1603"/>
    <d v="2023-10-25T00:00:00"/>
    <s v="CUST1121"/>
    <s v="PROD10"/>
    <x v="14"/>
    <n v="2"/>
    <n v="635.39"/>
    <n v="0.28999999999999998"/>
    <s v="COD"/>
    <x v="1600"/>
  </r>
  <r>
    <s v="SALE1604"/>
    <d v="2024-07-18T00:00:00"/>
    <s v="CUST1116"/>
    <s v="PROD92"/>
    <x v="12"/>
    <n v="2"/>
    <n v="253.87"/>
    <n v="0.23"/>
    <s v="COD"/>
    <x v="1601"/>
  </r>
  <r>
    <s v="SALE1605"/>
    <d v="2024-06-29T00:00:00"/>
    <s v="CUST1484"/>
    <s v="PROD76"/>
    <x v="1"/>
    <n v="3"/>
    <n v="915.81"/>
    <n v="0.17"/>
    <s v="COD"/>
    <x v="1602"/>
  </r>
  <r>
    <s v="SALE1606"/>
    <d v="2025-05-18T00:00:00"/>
    <s v="CUST1209"/>
    <s v="PROD42"/>
    <x v="2"/>
    <n v="3"/>
    <n v="779.5"/>
    <n v="0.02"/>
    <s v="Credit Card"/>
    <x v="1603"/>
  </r>
  <r>
    <s v="SALE1607"/>
    <d v="2024-06-27T00:00:00"/>
    <s v="CUST1469"/>
    <s v="PROD61"/>
    <x v="9"/>
    <n v="2"/>
    <n v="780.57"/>
    <n v="0.26"/>
    <s v="Credit Card"/>
    <x v="1604"/>
  </r>
  <r>
    <s v="SALE1608"/>
    <d v="2024-04-08T00:00:00"/>
    <s v="CUST1383"/>
    <s v="PROD95"/>
    <x v="12"/>
    <n v="1"/>
    <n v="511.35"/>
    <n v="0"/>
    <s v="Credit Card"/>
    <x v="1605"/>
  </r>
  <r>
    <s v="SALE1609"/>
    <d v="2025-05-26T00:00:00"/>
    <s v="CUST1016"/>
    <s v="PROD97"/>
    <x v="0"/>
    <n v="4"/>
    <n v="44.07"/>
    <n v="0.28999999999999998"/>
    <s v="COD"/>
    <x v="1606"/>
  </r>
  <r>
    <s v="SALE1610"/>
    <d v="2024-01-29T00:00:00"/>
    <s v="CUST1197"/>
    <s v="PROD69"/>
    <x v="19"/>
    <n v="2"/>
    <n v="895.92"/>
    <n v="0.15"/>
    <s v="Credit Card"/>
    <x v="1607"/>
  </r>
  <r>
    <s v="SALE1611"/>
    <d v="2024-11-23T00:00:00"/>
    <s v="CUST1305"/>
    <s v="PROD53"/>
    <x v="17"/>
    <n v="4"/>
    <n v="456.32"/>
    <n v="0.22"/>
    <s v="COD"/>
    <x v="1608"/>
  </r>
  <r>
    <s v="SALE1612"/>
    <d v="2025-04-30T00:00:00"/>
    <s v="CUST1420"/>
    <s v="PROD34"/>
    <x v="6"/>
    <n v="1"/>
    <n v="905.5"/>
    <n v="0.28999999999999998"/>
    <s v="COD"/>
    <x v="1609"/>
  </r>
  <r>
    <s v="SALE1613"/>
    <d v="2024-08-19T00:00:00"/>
    <s v="CUST1204"/>
    <s v="PROD16"/>
    <x v="13"/>
    <n v="3"/>
    <n v="63.19"/>
    <n v="0.08"/>
    <s v="Credit Card"/>
    <x v="1610"/>
  </r>
  <r>
    <s v="SALE1614"/>
    <d v="2024-12-02T00:00:00"/>
    <s v="CUST1050"/>
    <s v="PROD70"/>
    <x v="4"/>
    <n v="3"/>
    <n v="687.66"/>
    <n v="0.06"/>
    <s v="PayPal"/>
    <x v="1611"/>
  </r>
  <r>
    <s v="SALE1615"/>
    <d v="2025-03-26T00:00:00"/>
    <s v="CUST1219"/>
    <s v="PROD43"/>
    <x v="11"/>
    <n v="4"/>
    <n v="639.05999999999995"/>
    <n v="0.12"/>
    <s v="PayPal"/>
    <x v="1612"/>
  </r>
  <r>
    <s v="SALE1616"/>
    <d v="2024-06-13T00:00:00"/>
    <s v="CUST1067"/>
    <s v="PROD71"/>
    <x v="4"/>
    <n v="1"/>
    <n v="475.15"/>
    <n v="0.04"/>
    <s v="COD"/>
    <x v="1613"/>
  </r>
  <r>
    <s v="SALE1617"/>
    <d v="2024-08-30T00:00:00"/>
    <s v="CUST1190"/>
    <s v="PROD44"/>
    <x v="16"/>
    <n v="1"/>
    <n v="62.38"/>
    <n v="0.08"/>
    <s v="COD"/>
    <x v="1614"/>
  </r>
  <r>
    <s v="SALE1618"/>
    <d v="2024-03-24T00:00:00"/>
    <s v="CUST1354"/>
    <s v="PROD15"/>
    <x v="4"/>
    <n v="1"/>
    <n v="977.02"/>
    <n v="0.2"/>
    <s v="COD"/>
    <x v="1615"/>
  </r>
  <r>
    <s v="SALE1619"/>
    <d v="2024-09-11T00:00:00"/>
    <s v="CUST1074"/>
    <s v="PROD83"/>
    <x v="5"/>
    <n v="2"/>
    <n v="898.81"/>
    <n v="0.25"/>
    <s v="Credit Card"/>
    <x v="1616"/>
  </r>
  <r>
    <s v="SALE1620"/>
    <d v="2025-04-22T00:00:00"/>
    <s v="CUST1351"/>
    <s v="PROD57"/>
    <x v="0"/>
    <n v="2"/>
    <n v="422.13"/>
    <n v="0.28000000000000003"/>
    <s v="Credit Card"/>
    <x v="1617"/>
  </r>
  <r>
    <s v="SALE1621"/>
    <d v="2024-08-20T00:00:00"/>
    <s v="CUST1050"/>
    <s v="PROD34"/>
    <x v="19"/>
    <n v="1"/>
    <n v="324.56"/>
    <n v="0.03"/>
    <s v="COD"/>
    <x v="1618"/>
  </r>
  <r>
    <s v="SALE1622"/>
    <d v="2024-08-27T00:00:00"/>
    <s v="CUST1468"/>
    <s v="PROD55"/>
    <x v="9"/>
    <n v="4"/>
    <n v="570.38"/>
    <n v="0.26"/>
    <s v="PayPal"/>
    <x v="1619"/>
  </r>
  <r>
    <s v="SALE1623"/>
    <d v="2024-07-06T00:00:00"/>
    <s v="CUST1394"/>
    <s v="PROD34"/>
    <x v="10"/>
    <n v="2"/>
    <n v="223.73"/>
    <n v="0.11"/>
    <s v="PayPal"/>
    <x v="1620"/>
  </r>
  <r>
    <s v="SALE1624"/>
    <d v="2025-07-30T00:00:00"/>
    <s v="CUST1351"/>
    <s v="PROD86"/>
    <x v="9"/>
    <n v="4"/>
    <n v="164.93"/>
    <n v="0.11"/>
    <s v="Credit Card"/>
    <x v="1621"/>
  </r>
  <r>
    <s v="SALE1625"/>
    <d v="2024-10-04T00:00:00"/>
    <s v="CUST1249"/>
    <s v="PROD15"/>
    <x v="4"/>
    <n v="3"/>
    <n v="326.66000000000003"/>
    <n v="0.28000000000000003"/>
    <s v="COD"/>
    <x v="1622"/>
  </r>
  <r>
    <s v="SALE1626"/>
    <d v="2024-03-31T00:00:00"/>
    <s v="CUST1182"/>
    <s v="PROD1"/>
    <x v="10"/>
    <n v="2"/>
    <n v="462.93"/>
    <n v="0.17"/>
    <s v="PayPal"/>
    <x v="1623"/>
  </r>
  <r>
    <s v="SALE1627"/>
    <d v="2025-08-16T00:00:00"/>
    <s v="CUST1147"/>
    <s v="PROD0"/>
    <x v="9"/>
    <n v="3"/>
    <n v="60.26"/>
    <n v="0.04"/>
    <s v="Credit Card"/>
    <x v="1624"/>
  </r>
  <r>
    <s v="SALE1628"/>
    <d v="2025-06-21T00:00:00"/>
    <s v="CUST1071"/>
    <s v="PROD34"/>
    <x v="11"/>
    <n v="3"/>
    <n v="109.5"/>
    <n v="0.06"/>
    <s v="COD"/>
    <x v="1625"/>
  </r>
  <r>
    <s v="SALE1629"/>
    <d v="2025-03-05T00:00:00"/>
    <s v="CUST1382"/>
    <s v="PROD70"/>
    <x v="9"/>
    <n v="1"/>
    <n v="505.83"/>
    <n v="0.14000000000000001"/>
    <s v="COD"/>
    <x v="1626"/>
  </r>
  <r>
    <s v="SALE1630"/>
    <d v="2024-08-07T00:00:00"/>
    <s v="CUST1163"/>
    <s v="PROD98"/>
    <x v="15"/>
    <n v="2"/>
    <n v="443.15"/>
    <n v="0.27"/>
    <s v="PayPal"/>
    <x v="1627"/>
  </r>
  <r>
    <s v="SALE1631"/>
    <d v="2025-03-23T00:00:00"/>
    <s v="CUST1497"/>
    <s v="PROD7"/>
    <x v="4"/>
    <n v="2"/>
    <n v="784.26"/>
    <n v="0.23"/>
    <s v="PayPal"/>
    <x v="1628"/>
  </r>
  <r>
    <s v="SALE1632"/>
    <d v="2024-08-29T00:00:00"/>
    <s v="CUST1455"/>
    <s v="PROD39"/>
    <x v="19"/>
    <n v="3"/>
    <n v="590.30999999999995"/>
    <n v="0.17"/>
    <s v="PayPal"/>
    <x v="1629"/>
  </r>
  <r>
    <s v="SALE1633"/>
    <d v="2024-09-18T00:00:00"/>
    <s v="CUST1120"/>
    <s v="PROD69"/>
    <x v="9"/>
    <n v="1"/>
    <n v="696.13"/>
    <n v="0.06"/>
    <s v="COD"/>
    <x v="1630"/>
  </r>
  <r>
    <s v="SALE1634"/>
    <d v="2024-02-19T00:00:00"/>
    <s v="CUST1104"/>
    <s v="PROD51"/>
    <x v="16"/>
    <n v="4"/>
    <n v="194.39"/>
    <n v="0.25"/>
    <s v="Credit Card"/>
    <x v="1631"/>
  </r>
  <r>
    <s v="SALE1635"/>
    <d v="2024-05-18T00:00:00"/>
    <s v="CUST1330"/>
    <s v="PROD33"/>
    <x v="8"/>
    <n v="1"/>
    <n v="339.7"/>
    <n v="0.1"/>
    <s v="Credit Card"/>
    <x v="1632"/>
  </r>
  <r>
    <s v="SALE1636"/>
    <d v="2025-09-12T00:00:00"/>
    <s v="CUST1048"/>
    <s v="PROD68"/>
    <x v="13"/>
    <n v="4"/>
    <n v="463.16"/>
    <n v="0.27"/>
    <s v="PayPal"/>
    <x v="1633"/>
  </r>
  <r>
    <s v="SALE1637"/>
    <d v="2025-02-21T00:00:00"/>
    <s v="CUST1107"/>
    <s v="PROD5"/>
    <x v="15"/>
    <n v="2"/>
    <n v="824.91"/>
    <n v="0.09"/>
    <s v="Credit Card"/>
    <x v="1634"/>
  </r>
  <r>
    <s v="SALE1638"/>
    <d v="2024-08-16T00:00:00"/>
    <s v="CUST1070"/>
    <s v="PROD5"/>
    <x v="17"/>
    <n v="4"/>
    <n v="796.89"/>
    <n v="0.17"/>
    <s v="Credit Card"/>
    <x v="1635"/>
  </r>
  <r>
    <s v="SALE1639"/>
    <d v="2024-07-05T00:00:00"/>
    <s v="CUST1240"/>
    <s v="PROD26"/>
    <x v="1"/>
    <n v="3"/>
    <n v="543.92999999999995"/>
    <n v="0.3"/>
    <s v="COD"/>
    <x v="1636"/>
  </r>
  <r>
    <s v="SALE1640"/>
    <d v="2024-07-23T00:00:00"/>
    <s v="CUST1173"/>
    <s v="PROD14"/>
    <x v="4"/>
    <n v="2"/>
    <n v="44.65"/>
    <n v="0.03"/>
    <s v="PayPal"/>
    <x v="1637"/>
  </r>
  <r>
    <s v="SALE1641"/>
    <d v="2025-03-26T00:00:00"/>
    <s v="CUST1250"/>
    <s v="PROD56"/>
    <x v="6"/>
    <n v="4"/>
    <n v="827.39"/>
    <n v="0.06"/>
    <s v="COD"/>
    <x v="1638"/>
  </r>
  <r>
    <s v="SALE1642"/>
    <d v="2024-01-10T00:00:00"/>
    <s v="CUST1308"/>
    <s v="PROD14"/>
    <x v="18"/>
    <n v="2"/>
    <n v="403.2"/>
    <n v="0.21"/>
    <s v="PayPal"/>
    <x v="1639"/>
  </r>
  <r>
    <s v="SALE1643"/>
    <d v="2024-09-12T00:00:00"/>
    <s v="CUST1017"/>
    <s v="PROD86"/>
    <x v="13"/>
    <n v="4"/>
    <n v="292.31"/>
    <n v="0.27"/>
    <s v="PayPal"/>
    <x v="1640"/>
  </r>
  <r>
    <s v="SALE1644"/>
    <d v="2025-05-29T00:00:00"/>
    <s v="CUST1492"/>
    <s v="PROD2"/>
    <x v="15"/>
    <n v="1"/>
    <n v="948.33"/>
    <n v="0.11"/>
    <s v="Credit Card"/>
    <x v="1641"/>
  </r>
  <r>
    <s v="SALE1645"/>
    <d v="2024-01-03T00:00:00"/>
    <s v="CUST1343"/>
    <s v="PROD39"/>
    <x v="3"/>
    <n v="1"/>
    <n v="702.27"/>
    <n v="0.17"/>
    <s v="COD"/>
    <x v="1642"/>
  </r>
  <r>
    <s v="SALE1646"/>
    <d v="2025-08-06T00:00:00"/>
    <s v="CUST1041"/>
    <s v="PROD30"/>
    <x v="0"/>
    <n v="2"/>
    <n v="379.28"/>
    <n v="0.26"/>
    <s v="Credit Card"/>
    <x v="1643"/>
  </r>
  <r>
    <s v="SALE1647"/>
    <d v="2025-01-12T00:00:00"/>
    <s v="CUST1132"/>
    <s v="PROD47"/>
    <x v="6"/>
    <n v="4"/>
    <n v="92.35"/>
    <n v="0.15"/>
    <s v="Credit Card"/>
    <x v="1644"/>
  </r>
  <r>
    <s v="SALE1648"/>
    <d v="2024-11-10T00:00:00"/>
    <s v="CUST1219"/>
    <s v="PROD39"/>
    <x v="18"/>
    <n v="4"/>
    <n v="721.54"/>
    <n v="0.21"/>
    <s v="Credit Card"/>
    <x v="1645"/>
  </r>
  <r>
    <s v="SALE1649"/>
    <d v="2025-05-10T00:00:00"/>
    <s v="CUST1053"/>
    <s v="PROD38"/>
    <x v="11"/>
    <n v="1"/>
    <n v="228.69"/>
    <n v="0.14000000000000001"/>
    <s v="Credit Card"/>
    <x v="1646"/>
  </r>
  <r>
    <s v="SALE1650"/>
    <d v="2025-09-29T00:00:00"/>
    <s v="CUST1355"/>
    <s v="PROD53"/>
    <x v="15"/>
    <n v="1"/>
    <n v="899.09"/>
    <n v="0.2"/>
    <s v="PayPal"/>
    <x v="1647"/>
  </r>
  <r>
    <s v="SALE1651"/>
    <d v="2024-03-28T00:00:00"/>
    <s v="CUST1384"/>
    <s v="PROD8"/>
    <x v="2"/>
    <n v="4"/>
    <n v="195.75"/>
    <n v="0.17"/>
    <s v="Credit Card"/>
    <x v="1648"/>
  </r>
  <r>
    <s v="SALE1652"/>
    <d v="2024-08-28T00:00:00"/>
    <s v="CUST1426"/>
    <s v="PROD93"/>
    <x v="10"/>
    <n v="3"/>
    <n v="199.13"/>
    <n v="0.24"/>
    <s v="Credit Card"/>
    <x v="1649"/>
  </r>
  <r>
    <s v="SALE1653"/>
    <d v="2024-06-23T00:00:00"/>
    <s v="CUST1160"/>
    <s v="PROD22"/>
    <x v="7"/>
    <n v="2"/>
    <n v="833.62"/>
    <n v="0.18"/>
    <s v="Credit Card"/>
    <x v="1650"/>
  </r>
  <r>
    <s v="SALE1654"/>
    <d v="2024-04-13T00:00:00"/>
    <s v="CUST1484"/>
    <s v="PROD75"/>
    <x v="6"/>
    <n v="1"/>
    <n v="676.26"/>
    <n v="0.14000000000000001"/>
    <s v="Credit Card"/>
    <x v="1651"/>
  </r>
  <r>
    <s v="SALE1655"/>
    <d v="2025-02-20T00:00:00"/>
    <s v="CUST1032"/>
    <s v="PROD60"/>
    <x v="11"/>
    <n v="2"/>
    <n v="666.49"/>
    <n v="0.06"/>
    <s v="Credit Card"/>
    <x v="1652"/>
  </r>
  <r>
    <s v="SALE1656"/>
    <d v="2025-03-19T00:00:00"/>
    <s v="CUST1460"/>
    <s v="PROD15"/>
    <x v="5"/>
    <n v="3"/>
    <n v="471.19"/>
    <n v="0.28000000000000003"/>
    <s v="COD"/>
    <x v="1653"/>
  </r>
  <r>
    <s v="SALE1657"/>
    <d v="2023-11-07T00:00:00"/>
    <s v="CUST1119"/>
    <s v="PROD8"/>
    <x v="0"/>
    <n v="4"/>
    <n v="555.65"/>
    <n v="0.25"/>
    <s v="COD"/>
    <x v="1654"/>
  </r>
  <r>
    <s v="SALE1658"/>
    <d v="2023-12-22T00:00:00"/>
    <s v="CUST1035"/>
    <s v="PROD95"/>
    <x v="7"/>
    <n v="2"/>
    <n v="100.42"/>
    <n v="0.06"/>
    <s v="Credit Card"/>
    <x v="1655"/>
  </r>
  <r>
    <s v="SALE1659"/>
    <d v="2024-02-15T00:00:00"/>
    <s v="CUST1050"/>
    <s v="PROD98"/>
    <x v="14"/>
    <n v="3"/>
    <n v="981.69"/>
    <n v="0.05"/>
    <s v="COD"/>
    <x v="1656"/>
  </r>
  <r>
    <s v="SALE1660"/>
    <d v="2024-01-19T00:00:00"/>
    <s v="CUST1327"/>
    <s v="PROD10"/>
    <x v="9"/>
    <n v="2"/>
    <n v="848.87"/>
    <n v="0.09"/>
    <s v="COD"/>
    <x v="1657"/>
  </r>
  <r>
    <s v="SALE1661"/>
    <d v="2023-10-31T00:00:00"/>
    <s v="CUST1375"/>
    <s v="PROD96"/>
    <x v="15"/>
    <n v="3"/>
    <n v="582.32000000000005"/>
    <n v="0"/>
    <s v="PayPal"/>
    <x v="1658"/>
  </r>
  <r>
    <s v="SALE1662"/>
    <d v="2024-02-19T00:00:00"/>
    <s v="CUST1171"/>
    <s v="PROD49"/>
    <x v="1"/>
    <n v="2"/>
    <n v="869.43"/>
    <n v="0.24"/>
    <s v="COD"/>
    <x v="1659"/>
  </r>
  <r>
    <s v="SALE1663"/>
    <d v="2024-05-28T00:00:00"/>
    <s v="CUST1021"/>
    <s v="PROD54"/>
    <x v="5"/>
    <n v="1"/>
    <n v="62.26"/>
    <n v="0.03"/>
    <s v="COD"/>
    <x v="1660"/>
  </r>
  <r>
    <s v="SALE1664"/>
    <d v="2025-05-21T00:00:00"/>
    <s v="CUST1152"/>
    <s v="PROD39"/>
    <x v="7"/>
    <n v="3"/>
    <n v="343.97"/>
    <n v="0.04"/>
    <s v="COD"/>
    <x v="1661"/>
  </r>
  <r>
    <s v="SALE1665"/>
    <d v="2024-01-02T00:00:00"/>
    <s v="CUST1303"/>
    <s v="PROD24"/>
    <x v="18"/>
    <n v="3"/>
    <n v="304.67"/>
    <n v="0.11"/>
    <s v="Credit Card"/>
    <x v="1662"/>
  </r>
  <r>
    <s v="SALE1666"/>
    <d v="2024-01-05T00:00:00"/>
    <s v="CUST1365"/>
    <s v="PROD27"/>
    <x v="11"/>
    <n v="4"/>
    <n v="208.34"/>
    <n v="0.01"/>
    <s v="PayPal"/>
    <x v="1663"/>
  </r>
  <r>
    <s v="SALE1667"/>
    <d v="2025-07-22T00:00:00"/>
    <s v="CUST1312"/>
    <s v="PROD86"/>
    <x v="8"/>
    <n v="1"/>
    <n v="119.04"/>
    <n v="0.13"/>
    <s v="COD"/>
    <x v="1664"/>
  </r>
  <r>
    <s v="SALE1668"/>
    <d v="2025-07-05T00:00:00"/>
    <s v="CUST1321"/>
    <s v="PROD44"/>
    <x v="11"/>
    <n v="4"/>
    <n v="791.65"/>
    <n v="0.06"/>
    <s v="COD"/>
    <x v="1665"/>
  </r>
  <r>
    <s v="SALE1669"/>
    <d v="2025-07-24T00:00:00"/>
    <s v="CUST1052"/>
    <s v="PROD14"/>
    <x v="17"/>
    <n v="2"/>
    <n v="414.86"/>
    <n v="0.23"/>
    <s v="Credit Card"/>
    <x v="1666"/>
  </r>
  <r>
    <s v="SALE1670"/>
    <d v="2024-04-03T00:00:00"/>
    <s v="CUST1478"/>
    <s v="PROD38"/>
    <x v="18"/>
    <n v="2"/>
    <n v="960.81"/>
    <n v="0.28000000000000003"/>
    <s v="PayPal"/>
    <x v="1667"/>
  </r>
  <r>
    <s v="SALE1671"/>
    <d v="2025-01-11T00:00:00"/>
    <s v="CUST1212"/>
    <s v="PROD50"/>
    <x v="5"/>
    <n v="4"/>
    <n v="943.36"/>
    <n v="0.18"/>
    <s v="PayPal"/>
    <x v="1668"/>
  </r>
  <r>
    <s v="SALE1672"/>
    <d v="2024-09-26T00:00:00"/>
    <s v="CUST1213"/>
    <s v="PROD3"/>
    <x v="13"/>
    <n v="1"/>
    <n v="830.42"/>
    <n v="0.26"/>
    <s v="COD"/>
    <x v="1669"/>
  </r>
  <r>
    <s v="SALE1673"/>
    <d v="2024-12-11T00:00:00"/>
    <s v="CUST1353"/>
    <s v="PROD67"/>
    <x v="1"/>
    <n v="1"/>
    <n v="762.55"/>
    <n v="0.19"/>
    <s v="Credit Card"/>
    <x v="1670"/>
  </r>
  <r>
    <s v="SALE1674"/>
    <d v="2025-07-01T00:00:00"/>
    <s v="CUST1343"/>
    <s v="PROD74"/>
    <x v="14"/>
    <n v="2"/>
    <n v="464.43"/>
    <n v="0.24"/>
    <s v="COD"/>
    <x v="1671"/>
  </r>
  <r>
    <s v="SALE1675"/>
    <d v="2025-07-13T00:00:00"/>
    <s v="CUST1016"/>
    <s v="PROD64"/>
    <x v="14"/>
    <n v="1"/>
    <n v="711.08"/>
    <n v="0.24"/>
    <s v="PayPal"/>
    <x v="1672"/>
  </r>
  <r>
    <s v="SALE1676"/>
    <d v="2024-12-30T00:00:00"/>
    <s v="CUST1251"/>
    <s v="PROD45"/>
    <x v="7"/>
    <n v="2"/>
    <n v="984.96"/>
    <n v="0.16"/>
    <s v="PayPal"/>
    <x v="1673"/>
  </r>
  <r>
    <s v="SALE1677"/>
    <d v="2025-04-12T00:00:00"/>
    <s v="CUST1343"/>
    <s v="PROD38"/>
    <x v="18"/>
    <n v="1"/>
    <n v="21.14"/>
    <n v="0.06"/>
    <s v="COD"/>
    <x v="1674"/>
  </r>
  <r>
    <s v="SALE1678"/>
    <d v="2025-01-22T00:00:00"/>
    <s v="CUST1106"/>
    <s v="PROD98"/>
    <x v="2"/>
    <n v="1"/>
    <n v="343.03"/>
    <n v="0.16"/>
    <s v="Credit Card"/>
    <x v="1675"/>
  </r>
  <r>
    <s v="SALE1679"/>
    <d v="2023-11-07T00:00:00"/>
    <s v="CUST1247"/>
    <s v="PROD20"/>
    <x v="14"/>
    <n v="3"/>
    <n v="94.83"/>
    <n v="0.16"/>
    <s v="COD"/>
    <x v="1676"/>
  </r>
  <r>
    <s v="SALE1680"/>
    <d v="2025-05-13T00:00:00"/>
    <s v="CUST1018"/>
    <s v="PROD69"/>
    <x v="12"/>
    <n v="3"/>
    <n v="74.66"/>
    <n v="0.03"/>
    <s v="PayPal"/>
    <x v="1677"/>
  </r>
  <r>
    <s v="SALE1681"/>
    <d v="2023-12-08T00:00:00"/>
    <s v="CUST1136"/>
    <s v="PROD37"/>
    <x v="10"/>
    <n v="3"/>
    <n v="281.95999999999998"/>
    <n v="0.01"/>
    <s v="COD"/>
    <x v="1678"/>
  </r>
  <r>
    <s v="SALE1682"/>
    <d v="2025-01-07T00:00:00"/>
    <s v="CUST1236"/>
    <s v="PROD71"/>
    <x v="14"/>
    <n v="4"/>
    <n v="622.27"/>
    <n v="0.02"/>
    <s v="PayPal"/>
    <x v="1679"/>
  </r>
  <r>
    <s v="SALE1683"/>
    <d v="2024-07-02T00:00:00"/>
    <s v="CUST1102"/>
    <s v="PROD37"/>
    <x v="4"/>
    <n v="2"/>
    <n v="78.27"/>
    <n v="0.28999999999999998"/>
    <s v="COD"/>
    <x v="1680"/>
  </r>
  <r>
    <s v="SALE1684"/>
    <d v="2025-07-07T00:00:00"/>
    <s v="CUST1012"/>
    <s v="PROD62"/>
    <x v="13"/>
    <n v="4"/>
    <n v="676.58"/>
    <n v="0.23"/>
    <s v="COD"/>
    <x v="1681"/>
  </r>
  <r>
    <s v="SALE1685"/>
    <d v="2024-06-03T00:00:00"/>
    <s v="CUST1486"/>
    <s v="PROD31"/>
    <x v="8"/>
    <n v="2"/>
    <n v="938.6"/>
    <n v="0.04"/>
    <s v="PayPal"/>
    <x v="1682"/>
  </r>
  <r>
    <s v="SALE1686"/>
    <d v="2025-04-14T00:00:00"/>
    <s v="CUST1355"/>
    <s v="PROD13"/>
    <x v="7"/>
    <n v="2"/>
    <n v="859.47"/>
    <n v="0.01"/>
    <s v="Credit Card"/>
    <x v="1683"/>
  </r>
  <r>
    <s v="SALE1687"/>
    <d v="2024-03-12T00:00:00"/>
    <s v="CUST1057"/>
    <s v="PROD27"/>
    <x v="7"/>
    <n v="3"/>
    <n v="672.98"/>
    <n v="0.23"/>
    <s v="PayPal"/>
    <x v="1684"/>
  </r>
  <r>
    <s v="SALE1688"/>
    <d v="2024-05-08T00:00:00"/>
    <s v="CUST1206"/>
    <s v="PROD56"/>
    <x v="14"/>
    <n v="1"/>
    <n v="75.8"/>
    <n v="0.28999999999999998"/>
    <s v="PayPal"/>
    <x v="1685"/>
  </r>
  <r>
    <s v="SALE1689"/>
    <d v="2024-09-01T00:00:00"/>
    <s v="CUST1034"/>
    <s v="PROD17"/>
    <x v="10"/>
    <n v="4"/>
    <n v="742.15"/>
    <n v="0.1"/>
    <s v="COD"/>
    <x v="1686"/>
  </r>
  <r>
    <s v="SALE1690"/>
    <d v="2024-06-02T00:00:00"/>
    <s v="CUST1072"/>
    <s v="PROD30"/>
    <x v="4"/>
    <n v="1"/>
    <n v="637.39"/>
    <n v="0.22"/>
    <s v="PayPal"/>
    <x v="1687"/>
  </r>
  <r>
    <s v="SALE1691"/>
    <d v="2023-10-31T00:00:00"/>
    <s v="CUST1391"/>
    <s v="PROD6"/>
    <x v="1"/>
    <n v="1"/>
    <n v="631"/>
    <n v="0.04"/>
    <s v="Credit Card"/>
    <x v="1688"/>
  </r>
  <r>
    <s v="SALE1692"/>
    <d v="2025-09-16T00:00:00"/>
    <s v="CUST1393"/>
    <s v="PROD80"/>
    <x v="0"/>
    <n v="4"/>
    <n v="983.98"/>
    <n v="0.11"/>
    <s v="COD"/>
    <x v="1689"/>
  </r>
  <r>
    <s v="SALE1693"/>
    <d v="2024-03-02T00:00:00"/>
    <s v="CUST1054"/>
    <s v="PROD55"/>
    <x v="19"/>
    <n v="4"/>
    <n v="73.69"/>
    <n v="0.08"/>
    <s v="Credit Card"/>
    <x v="1690"/>
  </r>
  <r>
    <s v="SALE1694"/>
    <d v="2024-07-17T00:00:00"/>
    <s v="CUST1433"/>
    <s v="PROD11"/>
    <x v="4"/>
    <n v="3"/>
    <n v="110.99"/>
    <n v="0.21"/>
    <s v="Credit Card"/>
    <x v="1691"/>
  </r>
  <r>
    <s v="SALE1695"/>
    <d v="2025-07-12T00:00:00"/>
    <s v="CUST1083"/>
    <s v="PROD10"/>
    <x v="4"/>
    <n v="1"/>
    <n v="66.86"/>
    <n v="0.22"/>
    <s v="COD"/>
    <x v="1692"/>
  </r>
  <r>
    <s v="SALE1696"/>
    <d v="2024-08-11T00:00:00"/>
    <s v="CUST1417"/>
    <s v="PROD67"/>
    <x v="14"/>
    <n v="1"/>
    <n v="980.26"/>
    <n v="0.14000000000000001"/>
    <s v="PayPal"/>
    <x v="1693"/>
  </r>
  <r>
    <s v="SALE1697"/>
    <d v="2024-01-31T00:00:00"/>
    <s v="CUST1037"/>
    <s v="PROD18"/>
    <x v="14"/>
    <n v="1"/>
    <n v="235.28"/>
    <n v="0.05"/>
    <s v="PayPal"/>
    <x v="1694"/>
  </r>
  <r>
    <s v="SALE1698"/>
    <d v="2024-09-07T00:00:00"/>
    <s v="CUST1416"/>
    <s v="PROD0"/>
    <x v="10"/>
    <n v="3"/>
    <n v="407.39"/>
    <n v="0.08"/>
    <s v="PayPal"/>
    <x v="1695"/>
  </r>
  <r>
    <s v="SALE1699"/>
    <d v="2025-01-18T00:00:00"/>
    <s v="CUST1068"/>
    <s v="PROD27"/>
    <x v="7"/>
    <n v="4"/>
    <n v="459.83"/>
    <n v="0.12"/>
    <s v="COD"/>
    <x v="1696"/>
  </r>
  <r>
    <s v="SALE1700"/>
    <d v="2024-02-11T00:00:00"/>
    <s v="CUST1147"/>
    <s v="PROD93"/>
    <x v="5"/>
    <n v="3"/>
    <n v="706.6"/>
    <n v="0.17"/>
    <s v="PayPal"/>
    <x v="1697"/>
  </r>
  <r>
    <s v="SALE1701"/>
    <d v="2025-06-11T00:00:00"/>
    <s v="CUST1462"/>
    <s v="PROD91"/>
    <x v="12"/>
    <n v="3"/>
    <n v="811.16"/>
    <n v="0.1"/>
    <s v="COD"/>
    <x v="1698"/>
  </r>
  <r>
    <s v="SALE1702"/>
    <d v="2023-12-08T00:00:00"/>
    <s v="CUST1217"/>
    <s v="PROD37"/>
    <x v="4"/>
    <n v="2"/>
    <n v="985.79"/>
    <n v="0.04"/>
    <s v="PayPal"/>
    <x v="1699"/>
  </r>
  <r>
    <s v="SALE1703"/>
    <d v="2024-08-17T00:00:00"/>
    <s v="CUST1187"/>
    <s v="PROD33"/>
    <x v="7"/>
    <n v="1"/>
    <n v="255.02"/>
    <n v="0.3"/>
    <s v="Credit Card"/>
    <x v="1700"/>
  </r>
  <r>
    <s v="SALE1704"/>
    <d v="2025-02-05T00:00:00"/>
    <s v="CUST1095"/>
    <s v="PROD19"/>
    <x v="2"/>
    <n v="1"/>
    <n v="153.57"/>
    <n v="0.01"/>
    <s v="PayPal"/>
    <x v="1701"/>
  </r>
  <r>
    <s v="SALE1705"/>
    <d v="2025-03-18T00:00:00"/>
    <s v="CUST1253"/>
    <s v="PROD43"/>
    <x v="14"/>
    <n v="3"/>
    <n v="962.98"/>
    <n v="0.21"/>
    <s v="Credit Card"/>
    <x v="1702"/>
  </r>
  <r>
    <s v="SALE1706"/>
    <d v="2024-03-26T00:00:00"/>
    <s v="CUST1057"/>
    <s v="PROD44"/>
    <x v="2"/>
    <n v="3"/>
    <n v="884.46"/>
    <n v="0.25"/>
    <s v="Credit Card"/>
    <x v="1703"/>
  </r>
  <r>
    <s v="SALE1707"/>
    <d v="2025-05-01T00:00:00"/>
    <s v="CUST1437"/>
    <s v="PROD67"/>
    <x v="15"/>
    <n v="4"/>
    <n v="359.71"/>
    <n v="0.05"/>
    <s v="PayPal"/>
    <x v="1704"/>
  </r>
  <r>
    <s v="SALE1708"/>
    <d v="2025-02-27T00:00:00"/>
    <s v="CUST1051"/>
    <s v="PROD50"/>
    <x v="5"/>
    <n v="3"/>
    <n v="766.47"/>
    <n v="0.18"/>
    <s v="Credit Card"/>
    <x v="1705"/>
  </r>
  <r>
    <s v="SALE1709"/>
    <d v="2024-07-19T00:00:00"/>
    <s v="CUST1223"/>
    <s v="PROD56"/>
    <x v="14"/>
    <n v="1"/>
    <n v="772.07"/>
    <n v="0.26"/>
    <s v="PayPal"/>
    <x v="1706"/>
  </r>
  <r>
    <s v="SALE1710"/>
    <d v="2024-01-01T00:00:00"/>
    <s v="CUST1277"/>
    <s v="PROD19"/>
    <x v="3"/>
    <n v="3"/>
    <n v="108.31"/>
    <n v="0.26"/>
    <s v="COD"/>
    <x v="1707"/>
  </r>
  <r>
    <s v="SALE1711"/>
    <d v="2024-01-25T00:00:00"/>
    <s v="CUST1218"/>
    <s v="PROD79"/>
    <x v="16"/>
    <n v="1"/>
    <n v="502.53"/>
    <n v="0"/>
    <s v="PayPal"/>
    <x v="1708"/>
  </r>
  <r>
    <s v="SALE1712"/>
    <d v="2024-09-13T00:00:00"/>
    <s v="CUST1076"/>
    <s v="PROD1"/>
    <x v="9"/>
    <n v="2"/>
    <n v="508.52"/>
    <n v="0.11"/>
    <s v="COD"/>
    <x v="1709"/>
  </r>
  <r>
    <s v="SALE1713"/>
    <d v="2024-10-07T00:00:00"/>
    <s v="CUST1468"/>
    <s v="PROD74"/>
    <x v="0"/>
    <n v="1"/>
    <n v="492"/>
    <n v="0.26"/>
    <s v="PayPal"/>
    <x v="1710"/>
  </r>
  <r>
    <s v="SALE1714"/>
    <d v="2024-02-25T00:00:00"/>
    <s v="CUST1485"/>
    <s v="PROD37"/>
    <x v="7"/>
    <n v="4"/>
    <n v="746.36"/>
    <n v="0.02"/>
    <s v="Credit Card"/>
    <x v="1711"/>
  </r>
  <r>
    <s v="SALE1715"/>
    <d v="2025-06-15T00:00:00"/>
    <s v="CUST1433"/>
    <s v="PROD12"/>
    <x v="8"/>
    <n v="1"/>
    <n v="120.83"/>
    <n v="0.08"/>
    <s v="Credit Card"/>
    <x v="1712"/>
  </r>
  <r>
    <s v="SALE1716"/>
    <d v="2024-04-12T00:00:00"/>
    <s v="CUST1399"/>
    <s v="PROD77"/>
    <x v="14"/>
    <n v="2"/>
    <n v="68.31"/>
    <n v="0.28999999999999998"/>
    <s v="COD"/>
    <x v="1713"/>
  </r>
  <r>
    <s v="SALE1717"/>
    <d v="2023-12-05T00:00:00"/>
    <s v="CUST1062"/>
    <s v="PROD22"/>
    <x v="14"/>
    <n v="2"/>
    <n v="761.71"/>
    <n v="0.02"/>
    <s v="PayPal"/>
    <x v="1714"/>
  </r>
  <r>
    <s v="SALE1718"/>
    <d v="2023-12-01T00:00:00"/>
    <s v="CUST1066"/>
    <s v="PROD78"/>
    <x v="0"/>
    <n v="4"/>
    <n v="346.37"/>
    <n v="0.18"/>
    <s v="COD"/>
    <x v="1715"/>
  </r>
  <r>
    <s v="SALE1719"/>
    <d v="2025-02-14T00:00:00"/>
    <s v="CUST1007"/>
    <s v="PROD55"/>
    <x v="18"/>
    <n v="1"/>
    <n v="846.3"/>
    <n v="0.14000000000000001"/>
    <s v="PayPal"/>
    <x v="1716"/>
  </r>
  <r>
    <s v="SALE1720"/>
    <d v="2024-11-28T00:00:00"/>
    <s v="CUST1432"/>
    <s v="PROD0"/>
    <x v="12"/>
    <n v="1"/>
    <n v="458.97"/>
    <n v="0.1"/>
    <s v="PayPal"/>
    <x v="1717"/>
  </r>
  <r>
    <s v="SALE1721"/>
    <d v="2025-03-20T00:00:00"/>
    <s v="CUST1289"/>
    <s v="PROD43"/>
    <x v="4"/>
    <n v="2"/>
    <n v="536.61"/>
    <n v="0.14000000000000001"/>
    <s v="Credit Card"/>
    <x v="1718"/>
  </r>
  <r>
    <s v="SALE1722"/>
    <d v="2025-02-21T00:00:00"/>
    <s v="CUST1420"/>
    <s v="PROD58"/>
    <x v="6"/>
    <n v="3"/>
    <n v="130.41"/>
    <n v="0.14000000000000001"/>
    <s v="PayPal"/>
    <x v="1719"/>
  </r>
  <r>
    <s v="SALE1723"/>
    <d v="2025-03-22T00:00:00"/>
    <s v="CUST1496"/>
    <s v="PROD89"/>
    <x v="18"/>
    <n v="4"/>
    <n v="706.67"/>
    <n v="0.01"/>
    <s v="Credit Card"/>
    <x v="1720"/>
  </r>
  <r>
    <s v="SALE1724"/>
    <d v="2025-01-28T00:00:00"/>
    <s v="CUST1392"/>
    <s v="PROD27"/>
    <x v="0"/>
    <n v="3"/>
    <n v="523.45000000000005"/>
    <n v="0.17"/>
    <s v="Credit Card"/>
    <x v="1721"/>
  </r>
  <r>
    <s v="SALE1725"/>
    <d v="2025-02-13T00:00:00"/>
    <s v="CUST1009"/>
    <s v="PROD91"/>
    <x v="14"/>
    <n v="3"/>
    <n v="482.2"/>
    <n v="0.23"/>
    <s v="COD"/>
    <x v="1722"/>
  </r>
  <r>
    <s v="SALE1726"/>
    <d v="2025-03-29T00:00:00"/>
    <s v="CUST1124"/>
    <s v="PROD63"/>
    <x v="3"/>
    <n v="4"/>
    <n v="688.86"/>
    <n v="0.02"/>
    <s v="COD"/>
    <x v="1723"/>
  </r>
  <r>
    <s v="SALE1727"/>
    <d v="2023-10-15T00:00:00"/>
    <s v="CUST1023"/>
    <s v="PROD12"/>
    <x v="6"/>
    <n v="1"/>
    <n v="145.47999999999999"/>
    <n v="0.1"/>
    <s v="COD"/>
    <x v="1724"/>
  </r>
  <r>
    <s v="SALE1728"/>
    <d v="2024-09-12T00:00:00"/>
    <s v="CUST1052"/>
    <s v="PROD31"/>
    <x v="19"/>
    <n v="4"/>
    <n v="862.25"/>
    <n v="0.28000000000000003"/>
    <s v="PayPal"/>
    <x v="1725"/>
  </r>
  <r>
    <s v="SALE1729"/>
    <d v="2024-01-05T00:00:00"/>
    <s v="CUST1292"/>
    <s v="PROD1"/>
    <x v="7"/>
    <n v="4"/>
    <n v="146.12"/>
    <n v="0.12"/>
    <s v="COD"/>
    <x v="1726"/>
  </r>
  <r>
    <s v="SALE1730"/>
    <d v="2024-09-14T00:00:00"/>
    <s v="CUST1478"/>
    <s v="PROD31"/>
    <x v="14"/>
    <n v="2"/>
    <n v="695.02"/>
    <n v="0.3"/>
    <s v="COD"/>
    <x v="1727"/>
  </r>
  <r>
    <s v="SALE1731"/>
    <d v="2023-11-01T00:00:00"/>
    <s v="CUST1219"/>
    <s v="PROD94"/>
    <x v="15"/>
    <n v="2"/>
    <n v="886.67"/>
    <n v="0.24"/>
    <s v="PayPal"/>
    <x v="1728"/>
  </r>
  <r>
    <s v="SALE1732"/>
    <d v="2024-12-02T00:00:00"/>
    <s v="CUST1054"/>
    <s v="PROD66"/>
    <x v="14"/>
    <n v="2"/>
    <n v="864.09"/>
    <n v="0.06"/>
    <s v="COD"/>
    <x v="1729"/>
  </r>
  <r>
    <s v="SALE1733"/>
    <d v="2025-07-24T00:00:00"/>
    <s v="CUST1003"/>
    <s v="PROD12"/>
    <x v="11"/>
    <n v="1"/>
    <n v="437.65"/>
    <n v="0.02"/>
    <s v="PayPal"/>
    <x v="1730"/>
  </r>
  <r>
    <s v="SALE1734"/>
    <d v="2025-07-05T00:00:00"/>
    <s v="CUST1202"/>
    <s v="PROD36"/>
    <x v="13"/>
    <n v="2"/>
    <n v="208.09"/>
    <n v="0.27"/>
    <s v="Credit Card"/>
    <x v="1731"/>
  </r>
  <r>
    <s v="SALE1735"/>
    <d v="2024-07-09T00:00:00"/>
    <s v="CUST1054"/>
    <s v="PROD93"/>
    <x v="1"/>
    <n v="4"/>
    <n v="825.78"/>
    <n v="0.02"/>
    <s v="Credit Card"/>
    <x v="1732"/>
  </r>
  <r>
    <s v="SALE1736"/>
    <d v="2024-01-22T00:00:00"/>
    <s v="CUST1116"/>
    <s v="PROD25"/>
    <x v="1"/>
    <n v="3"/>
    <n v="849.77"/>
    <n v="0.12"/>
    <s v="PayPal"/>
    <x v="1733"/>
  </r>
  <r>
    <s v="SALE1737"/>
    <d v="2024-01-23T00:00:00"/>
    <s v="CUST1344"/>
    <s v="PROD60"/>
    <x v="5"/>
    <n v="1"/>
    <n v="88.78"/>
    <n v="0.18"/>
    <s v="Credit Card"/>
    <x v="1734"/>
  </r>
  <r>
    <s v="SALE1738"/>
    <d v="2024-08-22T00:00:00"/>
    <s v="CUST1191"/>
    <s v="PROD78"/>
    <x v="5"/>
    <n v="4"/>
    <n v="507.22"/>
    <n v="0.14000000000000001"/>
    <s v="PayPal"/>
    <x v="1735"/>
  </r>
  <r>
    <s v="SALE1739"/>
    <d v="2025-08-18T00:00:00"/>
    <s v="CUST1316"/>
    <s v="PROD96"/>
    <x v="6"/>
    <n v="3"/>
    <n v="330.98"/>
    <n v="0.11"/>
    <s v="Credit Card"/>
    <x v="1736"/>
  </r>
  <r>
    <s v="SALE1740"/>
    <d v="2024-09-27T00:00:00"/>
    <s v="CUST1051"/>
    <s v="PROD37"/>
    <x v="12"/>
    <n v="4"/>
    <n v="442.87"/>
    <n v="0.08"/>
    <s v="Credit Card"/>
    <x v="1737"/>
  </r>
  <r>
    <s v="SALE1741"/>
    <d v="2025-08-11T00:00:00"/>
    <s v="CUST1009"/>
    <s v="PROD96"/>
    <x v="17"/>
    <n v="2"/>
    <n v="939.66"/>
    <n v="0.14000000000000001"/>
    <s v="PayPal"/>
    <x v="1738"/>
  </r>
  <r>
    <s v="SALE1742"/>
    <d v="2024-09-21T00:00:00"/>
    <s v="CUST1293"/>
    <s v="PROD73"/>
    <x v="0"/>
    <n v="1"/>
    <n v="24.13"/>
    <n v="0"/>
    <s v="Credit Card"/>
    <x v="1739"/>
  </r>
  <r>
    <s v="SALE1743"/>
    <d v="2024-03-04T00:00:00"/>
    <s v="CUST1364"/>
    <s v="PROD41"/>
    <x v="0"/>
    <n v="3"/>
    <n v="239.54"/>
    <n v="0.28999999999999998"/>
    <s v="COD"/>
    <x v="1740"/>
  </r>
  <r>
    <s v="SALE1744"/>
    <d v="2023-11-14T00:00:00"/>
    <s v="CUST1482"/>
    <s v="PROD46"/>
    <x v="7"/>
    <n v="1"/>
    <n v="588.53"/>
    <n v="0.1"/>
    <s v="Credit Card"/>
    <x v="1741"/>
  </r>
  <r>
    <s v="SALE1745"/>
    <d v="2025-07-25T00:00:00"/>
    <s v="CUST1288"/>
    <s v="PROD60"/>
    <x v="10"/>
    <n v="1"/>
    <n v="145.96"/>
    <n v="0.3"/>
    <s v="Credit Card"/>
    <x v="1742"/>
  </r>
  <r>
    <s v="SALE1746"/>
    <d v="2024-10-08T00:00:00"/>
    <s v="CUST1101"/>
    <s v="PROD70"/>
    <x v="5"/>
    <n v="4"/>
    <n v="640.91"/>
    <n v="0.06"/>
    <s v="Credit Card"/>
    <x v="1743"/>
  </r>
  <r>
    <s v="SALE1747"/>
    <d v="2025-05-15T00:00:00"/>
    <s v="CUST1042"/>
    <s v="PROD64"/>
    <x v="19"/>
    <n v="3"/>
    <n v="773.86"/>
    <n v="0.22"/>
    <s v="Credit Card"/>
    <x v="1744"/>
  </r>
  <r>
    <s v="SALE1748"/>
    <d v="2025-03-28T00:00:00"/>
    <s v="CUST1463"/>
    <s v="PROD31"/>
    <x v="10"/>
    <n v="2"/>
    <n v="31.28"/>
    <n v="0.2"/>
    <s v="COD"/>
    <x v="1745"/>
  </r>
  <r>
    <s v="SALE1749"/>
    <d v="2025-07-04T00:00:00"/>
    <s v="CUST1373"/>
    <s v="PROD82"/>
    <x v="16"/>
    <n v="4"/>
    <n v="389.22"/>
    <n v="0.18"/>
    <s v="Credit Card"/>
    <x v="1746"/>
  </r>
  <r>
    <s v="SALE1750"/>
    <d v="2024-07-29T00:00:00"/>
    <s v="CUST1015"/>
    <s v="PROD64"/>
    <x v="10"/>
    <n v="3"/>
    <n v="543.44000000000005"/>
    <n v="0.13"/>
    <s v="PayPal"/>
    <x v="1747"/>
  </r>
  <r>
    <s v="SALE1751"/>
    <d v="2024-01-05T00:00:00"/>
    <s v="CUST1257"/>
    <s v="PROD97"/>
    <x v="12"/>
    <n v="4"/>
    <n v="715.42"/>
    <n v="0.28999999999999998"/>
    <s v="PayPal"/>
    <x v="1748"/>
  </r>
  <r>
    <s v="SALE1752"/>
    <d v="2025-08-17T00:00:00"/>
    <s v="CUST1051"/>
    <s v="PROD12"/>
    <x v="5"/>
    <n v="4"/>
    <n v="676.14"/>
    <n v="0.11"/>
    <s v="COD"/>
    <x v="1749"/>
  </r>
  <r>
    <s v="SALE1753"/>
    <d v="2024-05-13T00:00:00"/>
    <s v="CUST1089"/>
    <s v="PROD39"/>
    <x v="8"/>
    <n v="4"/>
    <n v="352.72"/>
    <n v="0.25"/>
    <s v="Credit Card"/>
    <x v="1750"/>
  </r>
  <r>
    <s v="SALE1754"/>
    <d v="2025-05-20T00:00:00"/>
    <s v="CUST1173"/>
    <s v="PROD11"/>
    <x v="18"/>
    <n v="1"/>
    <n v="470.18"/>
    <n v="0.19"/>
    <s v="PayPal"/>
    <x v="1751"/>
  </r>
  <r>
    <s v="SALE1755"/>
    <d v="2025-08-29T00:00:00"/>
    <s v="CUST1230"/>
    <s v="PROD66"/>
    <x v="19"/>
    <n v="1"/>
    <n v="891.79"/>
    <n v="0.03"/>
    <s v="Credit Card"/>
    <x v="1752"/>
  </r>
  <r>
    <s v="SALE1756"/>
    <d v="2024-04-08T00:00:00"/>
    <s v="CUST1348"/>
    <s v="PROD89"/>
    <x v="1"/>
    <n v="2"/>
    <n v="433.07"/>
    <n v="0.25"/>
    <s v="COD"/>
    <x v="1753"/>
  </r>
  <r>
    <s v="SALE1757"/>
    <d v="2024-03-04T00:00:00"/>
    <s v="CUST1012"/>
    <s v="PROD66"/>
    <x v="12"/>
    <n v="3"/>
    <n v="626.71"/>
    <n v="7.0000000000000007E-2"/>
    <s v="COD"/>
    <x v="1754"/>
  </r>
  <r>
    <s v="SALE1758"/>
    <d v="2025-09-16T00:00:00"/>
    <s v="CUST1076"/>
    <s v="PROD36"/>
    <x v="6"/>
    <n v="2"/>
    <n v="324.18"/>
    <n v="0.06"/>
    <s v="COD"/>
    <x v="1755"/>
  </r>
  <r>
    <s v="SALE1759"/>
    <d v="2024-06-05T00:00:00"/>
    <s v="CUST1013"/>
    <s v="PROD14"/>
    <x v="1"/>
    <n v="4"/>
    <n v="839.74"/>
    <n v="0.13"/>
    <s v="PayPal"/>
    <x v="1756"/>
  </r>
  <r>
    <s v="SALE1760"/>
    <d v="2024-04-20T00:00:00"/>
    <s v="CUST1156"/>
    <s v="PROD62"/>
    <x v="10"/>
    <n v="3"/>
    <n v="252.63"/>
    <n v="0.28000000000000003"/>
    <s v="Credit Card"/>
    <x v="1757"/>
  </r>
  <r>
    <s v="SALE1761"/>
    <d v="2024-10-16T00:00:00"/>
    <s v="CUST1255"/>
    <s v="PROD79"/>
    <x v="12"/>
    <n v="2"/>
    <n v="60.53"/>
    <n v="0.18"/>
    <s v="Credit Card"/>
    <x v="1758"/>
  </r>
  <r>
    <s v="SALE1762"/>
    <d v="2024-11-14T00:00:00"/>
    <s v="CUST1054"/>
    <s v="PROD84"/>
    <x v="13"/>
    <n v="4"/>
    <n v="341.95"/>
    <n v="0.25"/>
    <s v="Credit Card"/>
    <x v="1759"/>
  </r>
  <r>
    <s v="SALE1763"/>
    <d v="2024-05-26T00:00:00"/>
    <s v="CUST1283"/>
    <s v="PROD22"/>
    <x v="9"/>
    <n v="4"/>
    <n v="300.12"/>
    <n v="0.05"/>
    <s v="PayPal"/>
    <x v="1760"/>
  </r>
  <r>
    <s v="SALE1764"/>
    <d v="2025-02-17T00:00:00"/>
    <s v="CUST1115"/>
    <s v="PROD28"/>
    <x v="1"/>
    <n v="2"/>
    <n v="289.14"/>
    <n v="0.12"/>
    <s v="COD"/>
    <x v="1761"/>
  </r>
  <r>
    <s v="SALE1765"/>
    <d v="2025-02-07T00:00:00"/>
    <s v="CUST1045"/>
    <s v="PROD25"/>
    <x v="6"/>
    <n v="2"/>
    <n v="596.84"/>
    <n v="0.01"/>
    <s v="PayPal"/>
    <x v="1762"/>
  </r>
  <r>
    <s v="SALE1766"/>
    <d v="2024-10-06T00:00:00"/>
    <s v="CUST1436"/>
    <s v="PROD19"/>
    <x v="2"/>
    <n v="4"/>
    <n v="466.24"/>
    <n v="0.16"/>
    <s v="Credit Card"/>
    <x v="1763"/>
  </r>
  <r>
    <s v="SALE1767"/>
    <d v="2024-09-09T00:00:00"/>
    <s v="CUST1252"/>
    <s v="PROD13"/>
    <x v="9"/>
    <n v="2"/>
    <n v="330.59"/>
    <n v="0.14000000000000001"/>
    <s v="Credit Card"/>
    <x v="1764"/>
  </r>
  <r>
    <s v="SALE1768"/>
    <d v="2024-12-28T00:00:00"/>
    <s v="CUST1493"/>
    <s v="PROD22"/>
    <x v="16"/>
    <n v="2"/>
    <n v="616.42999999999995"/>
    <n v="0.02"/>
    <s v="COD"/>
    <x v="1765"/>
  </r>
  <r>
    <s v="SALE1769"/>
    <d v="2024-10-24T00:00:00"/>
    <s v="CUST1403"/>
    <s v="PROD63"/>
    <x v="16"/>
    <n v="3"/>
    <n v="195.89"/>
    <n v="0.16"/>
    <s v="PayPal"/>
    <x v="1766"/>
  </r>
  <r>
    <s v="SALE1770"/>
    <d v="2024-07-14T00:00:00"/>
    <s v="CUST1343"/>
    <s v="PROD7"/>
    <x v="15"/>
    <n v="4"/>
    <n v="614.76"/>
    <n v="0.16"/>
    <s v="Credit Card"/>
    <x v="1767"/>
  </r>
  <r>
    <s v="SALE1771"/>
    <d v="2024-05-06T00:00:00"/>
    <s v="CUST1404"/>
    <s v="PROD79"/>
    <x v="4"/>
    <n v="1"/>
    <n v="224.49"/>
    <n v="0.11"/>
    <s v="PayPal"/>
    <x v="1768"/>
  </r>
  <r>
    <s v="SALE1772"/>
    <d v="2024-02-16T00:00:00"/>
    <s v="CUST1356"/>
    <s v="PROD55"/>
    <x v="18"/>
    <n v="1"/>
    <n v="967.76"/>
    <n v="0.09"/>
    <s v="Credit Card"/>
    <x v="1769"/>
  </r>
  <r>
    <s v="SALE1773"/>
    <d v="2024-08-03T00:00:00"/>
    <s v="CUST1067"/>
    <s v="PROD41"/>
    <x v="12"/>
    <n v="2"/>
    <n v="56.52"/>
    <n v="0.17"/>
    <s v="PayPal"/>
    <x v="1770"/>
  </r>
  <r>
    <s v="SALE1774"/>
    <d v="2023-12-15T00:00:00"/>
    <s v="CUST1490"/>
    <s v="PROD67"/>
    <x v="8"/>
    <n v="4"/>
    <n v="921.84"/>
    <n v="0.04"/>
    <s v="Credit Card"/>
    <x v="1771"/>
  </r>
  <r>
    <s v="SALE1775"/>
    <d v="2024-01-28T00:00:00"/>
    <s v="CUST1328"/>
    <s v="PROD86"/>
    <x v="9"/>
    <n v="3"/>
    <n v="738.47"/>
    <n v="0.28000000000000003"/>
    <s v="Credit Card"/>
    <x v="1772"/>
  </r>
  <r>
    <s v="SALE1776"/>
    <d v="2024-11-24T00:00:00"/>
    <s v="CUST1328"/>
    <s v="PROD5"/>
    <x v="6"/>
    <n v="4"/>
    <n v="477.83"/>
    <n v="0.05"/>
    <s v="COD"/>
    <x v="1773"/>
  </r>
  <r>
    <s v="SALE1777"/>
    <d v="2025-06-23T00:00:00"/>
    <s v="CUST1168"/>
    <s v="PROD42"/>
    <x v="18"/>
    <n v="3"/>
    <n v="605.83000000000004"/>
    <n v="0.28000000000000003"/>
    <s v="COD"/>
    <x v="1774"/>
  </r>
  <r>
    <s v="SALE1778"/>
    <d v="2024-03-22T00:00:00"/>
    <s v="CUST1067"/>
    <s v="PROD43"/>
    <x v="0"/>
    <n v="2"/>
    <n v="521.44000000000005"/>
    <n v="0.25"/>
    <s v="COD"/>
    <x v="1775"/>
  </r>
  <r>
    <s v="SALE1779"/>
    <d v="2025-07-25T00:00:00"/>
    <s v="CUST1373"/>
    <s v="PROD10"/>
    <x v="4"/>
    <n v="4"/>
    <n v="499.02"/>
    <n v="0.06"/>
    <s v="Credit Card"/>
    <x v="1776"/>
  </r>
  <r>
    <s v="SALE1780"/>
    <d v="2025-04-11T00:00:00"/>
    <s v="CUST1153"/>
    <s v="PROD4"/>
    <x v="14"/>
    <n v="4"/>
    <n v="299.45999999999998"/>
    <n v="0.18"/>
    <s v="COD"/>
    <x v="1777"/>
  </r>
  <r>
    <s v="SALE1781"/>
    <d v="2023-12-25T00:00:00"/>
    <s v="CUST1457"/>
    <s v="PROD39"/>
    <x v="6"/>
    <n v="1"/>
    <n v="609.29"/>
    <n v="0.15"/>
    <s v="Credit Card"/>
    <x v="1778"/>
  </r>
  <r>
    <s v="SALE1782"/>
    <d v="2024-12-30T00:00:00"/>
    <s v="CUST1101"/>
    <s v="PROD2"/>
    <x v="2"/>
    <n v="1"/>
    <n v="213.74"/>
    <n v="7.0000000000000007E-2"/>
    <s v="COD"/>
    <x v="1779"/>
  </r>
  <r>
    <s v="SALE1783"/>
    <d v="2025-03-02T00:00:00"/>
    <s v="CUST1153"/>
    <s v="PROD55"/>
    <x v="9"/>
    <n v="4"/>
    <n v="613.16999999999996"/>
    <n v="0.26"/>
    <s v="Credit Card"/>
    <x v="1780"/>
  </r>
  <r>
    <s v="SALE1784"/>
    <d v="2024-01-02T00:00:00"/>
    <s v="CUST1357"/>
    <s v="PROD59"/>
    <x v="19"/>
    <n v="2"/>
    <n v="687.36"/>
    <n v="7.0000000000000007E-2"/>
    <s v="COD"/>
    <x v="1781"/>
  </r>
  <r>
    <s v="SALE1785"/>
    <d v="2025-09-15T00:00:00"/>
    <s v="CUST1326"/>
    <s v="PROD67"/>
    <x v="13"/>
    <n v="3"/>
    <n v="115.39"/>
    <n v="0.02"/>
    <s v="PayPal"/>
    <x v="1782"/>
  </r>
  <r>
    <s v="SALE1786"/>
    <d v="2024-03-08T00:00:00"/>
    <s v="CUST1179"/>
    <s v="PROD24"/>
    <x v="18"/>
    <n v="2"/>
    <n v="722.06"/>
    <n v="7.0000000000000007E-2"/>
    <s v="Credit Card"/>
    <x v="1783"/>
  </r>
  <r>
    <s v="SALE1787"/>
    <d v="2024-12-26T00:00:00"/>
    <s v="CUST1425"/>
    <s v="PROD7"/>
    <x v="10"/>
    <n v="1"/>
    <n v="384.57"/>
    <n v="0.06"/>
    <s v="PayPal"/>
    <x v="1784"/>
  </r>
  <r>
    <s v="SALE1788"/>
    <d v="2025-03-19T00:00:00"/>
    <s v="CUST1210"/>
    <s v="PROD8"/>
    <x v="13"/>
    <n v="2"/>
    <n v="194.09"/>
    <n v="0.18"/>
    <s v="PayPal"/>
    <x v="1785"/>
  </r>
  <r>
    <s v="SALE1789"/>
    <d v="2024-10-14T00:00:00"/>
    <s v="CUST1172"/>
    <s v="PROD88"/>
    <x v="0"/>
    <n v="2"/>
    <n v="403.91"/>
    <n v="7.0000000000000007E-2"/>
    <s v="Credit Card"/>
    <x v="1786"/>
  </r>
  <r>
    <s v="SALE1790"/>
    <d v="2025-03-05T00:00:00"/>
    <s v="CUST1076"/>
    <s v="PROD17"/>
    <x v="7"/>
    <n v="1"/>
    <n v="878.69"/>
    <n v="0.3"/>
    <s v="PayPal"/>
    <x v="1787"/>
  </r>
  <r>
    <s v="SALE1791"/>
    <d v="2024-06-03T00:00:00"/>
    <s v="CUST1381"/>
    <s v="PROD33"/>
    <x v="10"/>
    <n v="1"/>
    <n v="161.16999999999999"/>
    <n v="0.05"/>
    <s v="Credit Card"/>
    <x v="1788"/>
  </r>
  <r>
    <s v="SALE1792"/>
    <d v="2024-04-05T00:00:00"/>
    <s v="CUST1214"/>
    <s v="PROD73"/>
    <x v="7"/>
    <n v="2"/>
    <n v="720.15"/>
    <n v="0.22"/>
    <s v="COD"/>
    <x v="1789"/>
  </r>
  <r>
    <s v="SALE1793"/>
    <d v="2023-10-23T00:00:00"/>
    <s v="CUST1347"/>
    <s v="PROD26"/>
    <x v="2"/>
    <n v="1"/>
    <n v="361.8"/>
    <n v="0.02"/>
    <s v="COD"/>
    <x v="1790"/>
  </r>
  <r>
    <s v="SALE1794"/>
    <d v="2024-04-20T00:00:00"/>
    <s v="CUST1230"/>
    <s v="PROD95"/>
    <x v="16"/>
    <n v="1"/>
    <n v="779.84"/>
    <n v="0.28999999999999998"/>
    <s v="PayPal"/>
    <x v="1791"/>
  </r>
  <r>
    <s v="SALE1795"/>
    <d v="2024-06-12T00:00:00"/>
    <s v="CUST1004"/>
    <s v="PROD96"/>
    <x v="5"/>
    <n v="2"/>
    <n v="649.89"/>
    <n v="0.17"/>
    <s v="COD"/>
    <x v="1792"/>
  </r>
  <r>
    <s v="SALE1796"/>
    <d v="2025-08-08T00:00:00"/>
    <s v="CUST1204"/>
    <s v="PROD53"/>
    <x v="16"/>
    <n v="1"/>
    <n v="952.73"/>
    <n v="0.17"/>
    <s v="Credit Card"/>
    <x v="1793"/>
  </r>
  <r>
    <s v="SALE1797"/>
    <d v="2025-08-06T00:00:00"/>
    <s v="CUST1084"/>
    <s v="PROD99"/>
    <x v="9"/>
    <n v="4"/>
    <n v="820.78"/>
    <n v="0.25"/>
    <s v="Credit Card"/>
    <x v="1794"/>
  </r>
  <r>
    <s v="SALE1798"/>
    <d v="2024-10-27T00:00:00"/>
    <s v="CUST1342"/>
    <s v="PROD38"/>
    <x v="0"/>
    <n v="4"/>
    <n v="247.55"/>
    <n v="0.05"/>
    <s v="Credit Card"/>
    <x v="1795"/>
  </r>
  <r>
    <s v="SALE1799"/>
    <d v="2024-03-18T00:00:00"/>
    <s v="CUST1227"/>
    <s v="PROD99"/>
    <x v="2"/>
    <n v="3"/>
    <n v="561.44000000000005"/>
    <n v="0.2"/>
    <s v="COD"/>
    <x v="1796"/>
  </r>
  <r>
    <s v="SALE1800"/>
    <d v="2023-11-19T00:00:00"/>
    <s v="CUST1281"/>
    <s v="PROD72"/>
    <x v="2"/>
    <n v="4"/>
    <n v="214.37"/>
    <n v="0.11"/>
    <s v="COD"/>
    <x v="1797"/>
  </r>
  <r>
    <s v="SALE1801"/>
    <d v="2025-03-25T00:00:00"/>
    <s v="CUST1417"/>
    <s v="PROD17"/>
    <x v="9"/>
    <n v="3"/>
    <n v="123.74"/>
    <n v="0.23"/>
    <s v="PayPal"/>
    <x v="1798"/>
  </r>
  <r>
    <s v="SALE1802"/>
    <d v="2024-05-15T00:00:00"/>
    <s v="CUST1013"/>
    <s v="PROD67"/>
    <x v="19"/>
    <n v="4"/>
    <n v="645.71"/>
    <n v="0.1"/>
    <s v="PayPal"/>
    <x v="1799"/>
  </r>
  <r>
    <s v="SALE1803"/>
    <d v="2025-03-20T00:00:00"/>
    <s v="CUST1033"/>
    <s v="PROD21"/>
    <x v="18"/>
    <n v="3"/>
    <n v="587.12"/>
    <n v="0.3"/>
    <s v="Credit Card"/>
    <x v="1800"/>
  </r>
  <r>
    <s v="SALE1804"/>
    <d v="2025-10-11T00:00:00"/>
    <s v="CUST1241"/>
    <s v="PROD25"/>
    <x v="14"/>
    <n v="1"/>
    <n v="401.18"/>
    <n v="0.15"/>
    <s v="COD"/>
    <x v="1801"/>
  </r>
  <r>
    <s v="SALE1805"/>
    <d v="2024-07-13T00:00:00"/>
    <s v="CUST1366"/>
    <s v="PROD58"/>
    <x v="14"/>
    <n v="3"/>
    <n v="658.33"/>
    <n v="0.12"/>
    <s v="COD"/>
    <x v="1802"/>
  </r>
  <r>
    <s v="SALE1806"/>
    <d v="2024-07-01T00:00:00"/>
    <s v="CUST1201"/>
    <s v="PROD49"/>
    <x v="19"/>
    <n v="4"/>
    <n v="450.3"/>
    <n v="0.02"/>
    <s v="Credit Card"/>
    <x v="1803"/>
  </r>
  <r>
    <s v="SALE1807"/>
    <d v="2025-04-10T00:00:00"/>
    <s v="CUST1145"/>
    <s v="PROD94"/>
    <x v="15"/>
    <n v="4"/>
    <n v="33.630000000000003"/>
    <n v="0.05"/>
    <s v="Credit Card"/>
    <x v="1804"/>
  </r>
  <r>
    <s v="SALE1808"/>
    <d v="2024-07-02T00:00:00"/>
    <s v="CUST1035"/>
    <s v="PROD16"/>
    <x v="6"/>
    <n v="3"/>
    <n v="168.89"/>
    <n v="0.03"/>
    <s v="COD"/>
    <x v="1805"/>
  </r>
  <r>
    <s v="SALE1809"/>
    <d v="2024-09-11T00:00:00"/>
    <s v="CUST1095"/>
    <s v="PROD60"/>
    <x v="19"/>
    <n v="1"/>
    <n v="141.85"/>
    <n v="0.06"/>
    <s v="PayPal"/>
    <x v="1806"/>
  </r>
  <r>
    <s v="SALE1810"/>
    <d v="2024-08-16T00:00:00"/>
    <s v="CUST1306"/>
    <s v="PROD35"/>
    <x v="4"/>
    <n v="1"/>
    <n v="617.4"/>
    <n v="0.21"/>
    <s v="Credit Card"/>
    <x v="1807"/>
  </r>
  <r>
    <s v="SALE1811"/>
    <d v="2024-08-30T00:00:00"/>
    <s v="CUST1147"/>
    <s v="PROD53"/>
    <x v="8"/>
    <n v="3"/>
    <n v="841.47"/>
    <n v="0.15"/>
    <s v="COD"/>
    <x v="1808"/>
  </r>
  <r>
    <s v="SALE1812"/>
    <d v="2024-02-12T00:00:00"/>
    <s v="CUST1059"/>
    <s v="PROD21"/>
    <x v="13"/>
    <n v="2"/>
    <n v="960.41"/>
    <n v="0.18"/>
    <s v="Credit Card"/>
    <x v="1809"/>
  </r>
  <r>
    <s v="SALE1813"/>
    <d v="2023-12-29T00:00:00"/>
    <s v="CUST1451"/>
    <s v="PROD75"/>
    <x v="14"/>
    <n v="3"/>
    <n v="717.22"/>
    <n v="0.24"/>
    <s v="PayPal"/>
    <x v="1810"/>
  </r>
  <r>
    <s v="SALE1814"/>
    <d v="2025-06-24T00:00:00"/>
    <s v="CUST1115"/>
    <s v="PROD12"/>
    <x v="6"/>
    <n v="1"/>
    <n v="281.83"/>
    <n v="0.16"/>
    <s v="COD"/>
    <x v="1811"/>
  </r>
  <r>
    <s v="SALE1815"/>
    <d v="2024-04-18T00:00:00"/>
    <s v="CUST1204"/>
    <s v="PROD59"/>
    <x v="7"/>
    <n v="1"/>
    <n v="509.08"/>
    <n v="0.04"/>
    <s v="PayPal"/>
    <x v="1812"/>
  </r>
  <r>
    <s v="SALE1816"/>
    <d v="2025-09-30T00:00:00"/>
    <s v="CUST1400"/>
    <s v="PROD96"/>
    <x v="17"/>
    <n v="4"/>
    <n v="827.09"/>
    <n v="0.3"/>
    <s v="Credit Card"/>
    <x v="1813"/>
  </r>
  <r>
    <s v="SALE1817"/>
    <d v="2025-10-05T00:00:00"/>
    <s v="CUST1210"/>
    <s v="PROD29"/>
    <x v="5"/>
    <n v="2"/>
    <n v="823.36"/>
    <n v="0.23"/>
    <s v="Credit Card"/>
    <x v="1814"/>
  </r>
  <r>
    <s v="SALE1818"/>
    <d v="2025-06-06T00:00:00"/>
    <s v="CUST1137"/>
    <s v="PROD26"/>
    <x v="3"/>
    <n v="4"/>
    <n v="282.18"/>
    <n v="0.13"/>
    <s v="COD"/>
    <x v="1815"/>
  </r>
  <r>
    <s v="SALE1819"/>
    <d v="2024-02-01T00:00:00"/>
    <s v="CUST1172"/>
    <s v="PROD21"/>
    <x v="8"/>
    <n v="1"/>
    <n v="486.39"/>
    <n v="0.09"/>
    <s v="COD"/>
    <x v="1816"/>
  </r>
  <r>
    <s v="SALE1820"/>
    <d v="2024-01-21T00:00:00"/>
    <s v="CUST1044"/>
    <s v="PROD18"/>
    <x v="0"/>
    <n v="2"/>
    <n v="603.62"/>
    <n v="0.18"/>
    <s v="COD"/>
    <x v="1817"/>
  </r>
  <r>
    <s v="SALE1821"/>
    <d v="2024-09-19T00:00:00"/>
    <s v="CUST1147"/>
    <s v="PROD37"/>
    <x v="2"/>
    <n v="3"/>
    <n v="204.17"/>
    <n v="0.1"/>
    <s v="PayPal"/>
    <x v="1818"/>
  </r>
  <r>
    <s v="SALE1822"/>
    <d v="2024-01-19T00:00:00"/>
    <s v="CUST1137"/>
    <s v="PROD8"/>
    <x v="10"/>
    <n v="1"/>
    <n v="43.58"/>
    <n v="0.01"/>
    <s v="COD"/>
    <x v="1819"/>
  </r>
  <r>
    <s v="SALE1823"/>
    <d v="2024-10-29T00:00:00"/>
    <s v="CUST1332"/>
    <s v="PROD47"/>
    <x v="17"/>
    <n v="3"/>
    <n v="469.33"/>
    <n v="0.14000000000000001"/>
    <s v="PayPal"/>
    <x v="1820"/>
  </r>
  <r>
    <s v="SALE1824"/>
    <d v="2025-07-02T00:00:00"/>
    <s v="CUST1209"/>
    <s v="PROD8"/>
    <x v="2"/>
    <n v="4"/>
    <n v="836.23"/>
    <n v="0.12"/>
    <s v="Credit Card"/>
    <x v="1821"/>
  </r>
  <r>
    <s v="SALE1825"/>
    <d v="2024-09-14T00:00:00"/>
    <s v="CUST1178"/>
    <s v="PROD67"/>
    <x v="12"/>
    <n v="2"/>
    <n v="661.53"/>
    <n v="0.2"/>
    <s v="PayPal"/>
    <x v="1822"/>
  </r>
  <r>
    <s v="SALE1826"/>
    <d v="2025-09-03T00:00:00"/>
    <s v="CUST1118"/>
    <s v="PROD56"/>
    <x v="9"/>
    <n v="3"/>
    <n v="753.47"/>
    <n v="0.25"/>
    <s v="PayPal"/>
    <x v="1823"/>
  </r>
  <r>
    <s v="SALE1827"/>
    <d v="2025-01-16T00:00:00"/>
    <s v="CUST1156"/>
    <s v="PROD64"/>
    <x v="6"/>
    <n v="3"/>
    <n v="713.95"/>
    <n v="0"/>
    <s v="Credit Card"/>
    <x v="1824"/>
  </r>
  <r>
    <s v="SALE1828"/>
    <d v="2024-04-13T00:00:00"/>
    <s v="CUST1099"/>
    <s v="PROD11"/>
    <x v="3"/>
    <n v="3"/>
    <n v="596"/>
    <n v="0.28000000000000003"/>
    <s v="COD"/>
    <x v="1825"/>
  </r>
  <r>
    <s v="SALE1829"/>
    <d v="2024-03-28T00:00:00"/>
    <s v="CUST1334"/>
    <s v="PROD9"/>
    <x v="11"/>
    <n v="2"/>
    <n v="169.46"/>
    <n v="0.03"/>
    <s v="PayPal"/>
    <x v="1826"/>
  </r>
  <r>
    <s v="SALE1830"/>
    <d v="2025-07-22T00:00:00"/>
    <s v="CUST1300"/>
    <s v="PROD65"/>
    <x v="7"/>
    <n v="4"/>
    <n v="611.91999999999996"/>
    <n v="0.2"/>
    <s v="PayPal"/>
    <x v="1827"/>
  </r>
  <r>
    <s v="SALE1831"/>
    <d v="2025-02-16T00:00:00"/>
    <s v="CUST1003"/>
    <s v="PROD74"/>
    <x v="10"/>
    <n v="2"/>
    <n v="25.3"/>
    <n v="0.21"/>
    <s v="Credit Card"/>
    <x v="1828"/>
  </r>
  <r>
    <s v="SALE1832"/>
    <d v="2024-02-05T00:00:00"/>
    <s v="CUST1433"/>
    <s v="PROD73"/>
    <x v="15"/>
    <n v="4"/>
    <n v="166.93"/>
    <n v="0.02"/>
    <s v="PayPal"/>
    <x v="1829"/>
  </r>
  <r>
    <s v="SALE1833"/>
    <d v="2025-03-05T00:00:00"/>
    <s v="CUST1280"/>
    <s v="PROD60"/>
    <x v="19"/>
    <n v="4"/>
    <n v="861.55"/>
    <n v="0.12"/>
    <s v="Credit Card"/>
    <x v="1830"/>
  </r>
  <r>
    <s v="SALE1834"/>
    <d v="2025-07-04T00:00:00"/>
    <s v="CUST1360"/>
    <s v="PROD43"/>
    <x v="3"/>
    <n v="3"/>
    <n v="56.17"/>
    <n v="0.01"/>
    <s v="COD"/>
    <x v="1831"/>
  </r>
  <r>
    <s v="SALE1835"/>
    <d v="2025-07-24T00:00:00"/>
    <s v="CUST1266"/>
    <s v="PROD15"/>
    <x v="12"/>
    <n v="1"/>
    <n v="582.29"/>
    <n v="0.2"/>
    <s v="Credit Card"/>
    <x v="1832"/>
  </r>
  <r>
    <s v="SALE1836"/>
    <d v="2025-01-24T00:00:00"/>
    <s v="CUST1261"/>
    <s v="PROD83"/>
    <x v="6"/>
    <n v="3"/>
    <n v="63.96"/>
    <n v="0.02"/>
    <s v="Credit Card"/>
    <x v="1833"/>
  </r>
  <r>
    <s v="SALE1837"/>
    <d v="2024-04-10T00:00:00"/>
    <s v="CUST1065"/>
    <s v="PROD9"/>
    <x v="18"/>
    <n v="1"/>
    <n v="829.83"/>
    <n v="0.26"/>
    <s v="COD"/>
    <x v="1834"/>
  </r>
  <r>
    <s v="SALE1838"/>
    <d v="2024-10-21T00:00:00"/>
    <s v="CUST1370"/>
    <s v="PROD34"/>
    <x v="9"/>
    <n v="2"/>
    <n v="858.15"/>
    <n v="0.03"/>
    <s v="Credit Card"/>
    <x v="1835"/>
  </r>
  <r>
    <s v="SALE1839"/>
    <d v="2024-02-18T00:00:00"/>
    <s v="CUST1359"/>
    <s v="PROD73"/>
    <x v="13"/>
    <n v="3"/>
    <n v="717.32"/>
    <n v="0.23"/>
    <s v="COD"/>
    <x v="1836"/>
  </r>
  <r>
    <s v="SALE1840"/>
    <d v="2025-07-15T00:00:00"/>
    <s v="CUST1428"/>
    <s v="PROD83"/>
    <x v="18"/>
    <n v="1"/>
    <n v="163.19999999999999"/>
    <n v="0.22"/>
    <s v="PayPal"/>
    <x v="1837"/>
  </r>
  <r>
    <s v="SALE1841"/>
    <d v="2024-07-16T00:00:00"/>
    <s v="CUST1126"/>
    <s v="PROD81"/>
    <x v="18"/>
    <n v="2"/>
    <n v="966.71"/>
    <n v="0.11"/>
    <s v="Credit Card"/>
    <x v="1838"/>
  </r>
  <r>
    <s v="SALE1842"/>
    <d v="2025-04-14T00:00:00"/>
    <s v="CUST1348"/>
    <s v="PROD35"/>
    <x v="13"/>
    <n v="2"/>
    <n v="873.94"/>
    <n v="0.14000000000000001"/>
    <s v="COD"/>
    <x v="1839"/>
  </r>
  <r>
    <s v="SALE1843"/>
    <d v="2024-03-28T00:00:00"/>
    <s v="CUST1149"/>
    <s v="PROD0"/>
    <x v="0"/>
    <n v="1"/>
    <n v="140.24"/>
    <n v="0.27"/>
    <s v="Credit Card"/>
    <x v="1840"/>
  </r>
  <r>
    <s v="SALE1844"/>
    <d v="2025-02-28T00:00:00"/>
    <s v="CUST1201"/>
    <s v="PROD43"/>
    <x v="3"/>
    <n v="2"/>
    <n v="549.91999999999996"/>
    <n v="0.28000000000000003"/>
    <s v="Credit Card"/>
    <x v="1841"/>
  </r>
  <r>
    <s v="SALE1845"/>
    <d v="2024-03-13T00:00:00"/>
    <s v="CUST1111"/>
    <s v="PROD17"/>
    <x v="3"/>
    <n v="4"/>
    <n v="715.88"/>
    <n v="0.19"/>
    <s v="PayPal"/>
    <x v="1842"/>
  </r>
  <r>
    <s v="SALE1846"/>
    <d v="2025-04-05T00:00:00"/>
    <s v="CUST1371"/>
    <s v="PROD2"/>
    <x v="2"/>
    <n v="3"/>
    <n v="591.9"/>
    <n v="0.27"/>
    <s v="Credit Card"/>
    <x v="1843"/>
  </r>
  <r>
    <s v="SALE1847"/>
    <d v="2025-08-14T00:00:00"/>
    <s v="CUST1375"/>
    <s v="PROD22"/>
    <x v="15"/>
    <n v="2"/>
    <n v="523.14"/>
    <n v="0.13"/>
    <s v="PayPal"/>
    <x v="1844"/>
  </r>
  <r>
    <s v="SALE1848"/>
    <d v="2024-07-04T00:00:00"/>
    <s v="CUST1226"/>
    <s v="PROD69"/>
    <x v="7"/>
    <n v="2"/>
    <n v="478.62"/>
    <n v="0.17"/>
    <s v="COD"/>
    <x v="1845"/>
  </r>
  <r>
    <s v="SALE1849"/>
    <d v="2024-09-21T00:00:00"/>
    <s v="CUST1299"/>
    <s v="PROD82"/>
    <x v="8"/>
    <n v="4"/>
    <n v="740.5"/>
    <n v="0.17"/>
    <s v="PayPal"/>
    <x v="1846"/>
  </r>
  <r>
    <s v="SALE1850"/>
    <d v="2024-06-22T00:00:00"/>
    <s v="CUST1112"/>
    <s v="PROD46"/>
    <x v="17"/>
    <n v="1"/>
    <n v="780.24"/>
    <n v="0.04"/>
    <s v="COD"/>
    <x v="1847"/>
  </r>
  <r>
    <s v="SALE1851"/>
    <d v="2024-09-17T00:00:00"/>
    <s v="CUST1107"/>
    <s v="PROD70"/>
    <x v="9"/>
    <n v="4"/>
    <n v="579.24"/>
    <n v="0.04"/>
    <s v="COD"/>
    <x v="1848"/>
  </r>
  <r>
    <s v="SALE1852"/>
    <d v="2024-12-09T00:00:00"/>
    <s v="CUST1371"/>
    <s v="PROD1"/>
    <x v="17"/>
    <n v="3"/>
    <n v="268.95"/>
    <n v="0.04"/>
    <s v="PayPal"/>
    <x v="1849"/>
  </r>
  <r>
    <s v="SALE1853"/>
    <d v="2025-03-24T00:00:00"/>
    <s v="CUST1305"/>
    <s v="PROD5"/>
    <x v="5"/>
    <n v="1"/>
    <n v="47.47"/>
    <n v="0.28000000000000003"/>
    <s v="Credit Card"/>
    <x v="1850"/>
  </r>
  <r>
    <s v="SALE1854"/>
    <d v="2025-05-19T00:00:00"/>
    <s v="CUST1257"/>
    <s v="PROD33"/>
    <x v="1"/>
    <n v="3"/>
    <n v="858.81"/>
    <n v="7.0000000000000007E-2"/>
    <s v="Credit Card"/>
    <x v="1851"/>
  </r>
  <r>
    <s v="SALE1855"/>
    <d v="2025-02-22T00:00:00"/>
    <s v="CUST1310"/>
    <s v="PROD19"/>
    <x v="15"/>
    <n v="3"/>
    <n v="569.98"/>
    <n v="0.05"/>
    <s v="Credit Card"/>
    <x v="1852"/>
  </r>
  <r>
    <s v="SALE1856"/>
    <d v="2024-10-31T00:00:00"/>
    <s v="CUST1327"/>
    <s v="PROD74"/>
    <x v="18"/>
    <n v="3"/>
    <n v="306.52"/>
    <n v="0.01"/>
    <s v="COD"/>
    <x v="1853"/>
  </r>
  <r>
    <s v="SALE1857"/>
    <d v="2024-03-03T00:00:00"/>
    <s v="CUST1064"/>
    <s v="PROD56"/>
    <x v="13"/>
    <n v="3"/>
    <n v="184.67"/>
    <n v="0.03"/>
    <s v="COD"/>
    <x v="1854"/>
  </r>
  <r>
    <s v="SALE1858"/>
    <d v="2024-05-16T00:00:00"/>
    <s v="CUST1482"/>
    <s v="PROD26"/>
    <x v="3"/>
    <n v="4"/>
    <n v="189.56"/>
    <n v="0"/>
    <s v="COD"/>
    <x v="1855"/>
  </r>
  <r>
    <s v="SALE1859"/>
    <d v="2024-08-07T00:00:00"/>
    <s v="CUST1208"/>
    <s v="PROD75"/>
    <x v="3"/>
    <n v="1"/>
    <n v="805.24"/>
    <n v="0.04"/>
    <s v="PayPal"/>
    <x v="1856"/>
  </r>
  <r>
    <s v="SALE1860"/>
    <d v="2024-09-14T00:00:00"/>
    <s v="CUST1188"/>
    <s v="PROD54"/>
    <x v="1"/>
    <n v="3"/>
    <n v="683.74"/>
    <n v="0.24"/>
    <s v="Credit Card"/>
    <x v="1857"/>
  </r>
  <r>
    <s v="SALE1861"/>
    <d v="2024-10-08T00:00:00"/>
    <s v="CUST1210"/>
    <s v="PROD56"/>
    <x v="14"/>
    <n v="3"/>
    <n v="439.21"/>
    <n v="0.28000000000000003"/>
    <s v="COD"/>
    <x v="1858"/>
  </r>
  <r>
    <s v="SALE1862"/>
    <d v="2025-09-04T00:00:00"/>
    <s v="CUST1119"/>
    <s v="PROD66"/>
    <x v="16"/>
    <n v="1"/>
    <n v="126.92"/>
    <n v="0.24"/>
    <s v="COD"/>
    <x v="1859"/>
  </r>
  <r>
    <s v="SALE1863"/>
    <d v="2024-07-16T00:00:00"/>
    <s v="CUST1004"/>
    <s v="PROD73"/>
    <x v="5"/>
    <n v="4"/>
    <n v="834.7"/>
    <n v="0.14000000000000001"/>
    <s v="Credit Card"/>
    <x v="1860"/>
  </r>
  <r>
    <s v="SALE1864"/>
    <d v="2025-09-09T00:00:00"/>
    <s v="CUST1341"/>
    <s v="PROD42"/>
    <x v="19"/>
    <n v="2"/>
    <n v="271.88"/>
    <n v="0.11"/>
    <s v="COD"/>
    <x v="1861"/>
  </r>
  <r>
    <s v="SALE1865"/>
    <d v="2025-03-04T00:00:00"/>
    <s v="CUST1480"/>
    <s v="PROD11"/>
    <x v="8"/>
    <n v="4"/>
    <n v="972.14"/>
    <n v="0.25"/>
    <s v="Credit Card"/>
    <x v="1862"/>
  </r>
  <r>
    <s v="SALE1866"/>
    <d v="2025-06-23T00:00:00"/>
    <s v="CUST1093"/>
    <s v="PROD43"/>
    <x v="5"/>
    <n v="3"/>
    <n v="523.66"/>
    <n v="0.27"/>
    <s v="PayPal"/>
    <x v="1863"/>
  </r>
  <r>
    <s v="SALE1867"/>
    <d v="2024-11-06T00:00:00"/>
    <s v="CUST1148"/>
    <s v="PROD64"/>
    <x v="17"/>
    <n v="4"/>
    <n v="838.99"/>
    <n v="0.16"/>
    <s v="Credit Card"/>
    <x v="1864"/>
  </r>
  <r>
    <s v="SALE1868"/>
    <d v="2025-03-06T00:00:00"/>
    <s v="CUST1135"/>
    <s v="PROD11"/>
    <x v="1"/>
    <n v="4"/>
    <n v="838.7"/>
    <n v="0.21"/>
    <s v="COD"/>
    <x v="1865"/>
  </r>
  <r>
    <s v="SALE1869"/>
    <d v="2025-05-17T00:00:00"/>
    <s v="CUST1420"/>
    <s v="PROD74"/>
    <x v="2"/>
    <n v="3"/>
    <n v="943.24"/>
    <n v="0.21"/>
    <s v="Credit Card"/>
    <x v="1866"/>
  </r>
  <r>
    <s v="SALE1870"/>
    <d v="2025-01-02T00:00:00"/>
    <s v="CUST1299"/>
    <s v="PROD0"/>
    <x v="1"/>
    <n v="2"/>
    <n v="310.33"/>
    <n v="0.26"/>
    <s v="Credit Card"/>
    <x v="1867"/>
  </r>
  <r>
    <s v="SALE1871"/>
    <d v="2024-07-28T00:00:00"/>
    <s v="CUST1346"/>
    <s v="PROD45"/>
    <x v="6"/>
    <n v="3"/>
    <n v="201.05"/>
    <n v="0.23"/>
    <s v="PayPal"/>
    <x v="1868"/>
  </r>
  <r>
    <s v="SALE1872"/>
    <d v="2024-04-26T00:00:00"/>
    <s v="CUST1252"/>
    <s v="PROD58"/>
    <x v="1"/>
    <n v="1"/>
    <n v="803.37"/>
    <n v="0.3"/>
    <s v="PayPal"/>
    <x v="1869"/>
  </r>
  <r>
    <s v="SALE1873"/>
    <d v="2025-08-17T00:00:00"/>
    <s v="CUST1036"/>
    <s v="PROD61"/>
    <x v="10"/>
    <n v="3"/>
    <n v="259.98"/>
    <n v="7.0000000000000007E-2"/>
    <s v="COD"/>
    <x v="1870"/>
  </r>
  <r>
    <s v="SALE1874"/>
    <d v="2024-05-14T00:00:00"/>
    <s v="CUST1124"/>
    <s v="PROD2"/>
    <x v="0"/>
    <n v="4"/>
    <n v="591.9"/>
    <n v="0.2"/>
    <s v="PayPal"/>
    <x v="1871"/>
  </r>
  <r>
    <s v="SALE1875"/>
    <d v="2025-03-14T00:00:00"/>
    <s v="CUST1031"/>
    <s v="PROD60"/>
    <x v="18"/>
    <n v="2"/>
    <n v="396.9"/>
    <n v="0.18"/>
    <s v="PayPal"/>
    <x v="1872"/>
  </r>
  <r>
    <s v="SALE1876"/>
    <d v="2025-03-15T00:00:00"/>
    <s v="CUST1453"/>
    <s v="PROD98"/>
    <x v="17"/>
    <n v="1"/>
    <n v="176.84"/>
    <n v="0.19"/>
    <s v="Credit Card"/>
    <x v="1873"/>
  </r>
  <r>
    <s v="SALE1877"/>
    <d v="2023-12-12T00:00:00"/>
    <s v="CUST1254"/>
    <s v="PROD26"/>
    <x v="6"/>
    <n v="2"/>
    <n v="614.21"/>
    <n v="0.11"/>
    <s v="PayPal"/>
    <x v="1874"/>
  </r>
  <r>
    <s v="SALE1878"/>
    <d v="2024-10-19T00:00:00"/>
    <s v="CUST1108"/>
    <s v="PROD3"/>
    <x v="4"/>
    <n v="3"/>
    <n v="604.66"/>
    <n v="0.18"/>
    <s v="COD"/>
    <x v="1875"/>
  </r>
  <r>
    <s v="SALE1879"/>
    <d v="2024-08-30T00:00:00"/>
    <s v="CUST1498"/>
    <s v="PROD2"/>
    <x v="18"/>
    <n v="3"/>
    <n v="24.29"/>
    <n v="0.12"/>
    <s v="PayPal"/>
    <x v="1876"/>
  </r>
  <r>
    <s v="SALE1880"/>
    <d v="2024-07-09T00:00:00"/>
    <s v="CUST1121"/>
    <s v="PROD63"/>
    <x v="19"/>
    <n v="1"/>
    <n v="503.95"/>
    <n v="0.24"/>
    <s v="PayPal"/>
    <x v="1877"/>
  </r>
  <r>
    <s v="SALE1881"/>
    <d v="2024-07-02T00:00:00"/>
    <s v="CUST1319"/>
    <s v="PROD51"/>
    <x v="7"/>
    <n v="4"/>
    <n v="860.78"/>
    <n v="0.03"/>
    <s v="Credit Card"/>
    <x v="1878"/>
  </r>
  <r>
    <s v="SALE1882"/>
    <d v="2023-11-04T00:00:00"/>
    <s v="CUST1197"/>
    <s v="PROD42"/>
    <x v="0"/>
    <n v="3"/>
    <n v="41.97"/>
    <n v="0.03"/>
    <s v="COD"/>
    <x v="1879"/>
  </r>
  <r>
    <s v="SALE1883"/>
    <d v="2024-04-15T00:00:00"/>
    <s v="CUST1033"/>
    <s v="PROD15"/>
    <x v="3"/>
    <n v="1"/>
    <n v="649.59"/>
    <n v="0.12"/>
    <s v="COD"/>
    <x v="1880"/>
  </r>
  <r>
    <s v="SALE1884"/>
    <d v="2024-07-29T00:00:00"/>
    <s v="CUST1053"/>
    <s v="PROD63"/>
    <x v="11"/>
    <n v="2"/>
    <n v="386.09"/>
    <n v="0.19"/>
    <s v="PayPal"/>
    <x v="1881"/>
  </r>
  <r>
    <s v="SALE1885"/>
    <d v="2024-12-18T00:00:00"/>
    <s v="CUST1099"/>
    <s v="PROD51"/>
    <x v="18"/>
    <n v="1"/>
    <n v="891.62"/>
    <n v="0.06"/>
    <s v="PayPal"/>
    <x v="1882"/>
  </r>
  <r>
    <s v="SALE1886"/>
    <d v="2024-11-21T00:00:00"/>
    <s v="CUST1381"/>
    <s v="PROD64"/>
    <x v="10"/>
    <n v="2"/>
    <n v="558.9"/>
    <n v="0.05"/>
    <s v="COD"/>
    <x v="1883"/>
  </r>
  <r>
    <s v="SALE1887"/>
    <d v="2025-05-20T00:00:00"/>
    <s v="CUST1352"/>
    <s v="PROD1"/>
    <x v="0"/>
    <n v="2"/>
    <n v="99.04"/>
    <n v="0.26"/>
    <s v="COD"/>
    <x v="1884"/>
  </r>
  <r>
    <s v="SALE1888"/>
    <d v="2025-03-24T00:00:00"/>
    <s v="CUST1291"/>
    <s v="PROD3"/>
    <x v="2"/>
    <n v="4"/>
    <n v="625.13"/>
    <n v="0.06"/>
    <s v="Credit Card"/>
    <x v="1885"/>
  </r>
  <r>
    <s v="SALE1889"/>
    <d v="2025-06-16T00:00:00"/>
    <s v="CUST1036"/>
    <s v="PROD40"/>
    <x v="14"/>
    <n v="4"/>
    <n v="38.380000000000003"/>
    <n v="0.16"/>
    <s v="COD"/>
    <x v="1886"/>
  </r>
  <r>
    <s v="SALE1890"/>
    <d v="2024-04-22T00:00:00"/>
    <s v="CUST1492"/>
    <s v="PROD94"/>
    <x v="15"/>
    <n v="4"/>
    <n v="731.72"/>
    <n v="0.22"/>
    <s v="COD"/>
    <x v="1887"/>
  </r>
  <r>
    <s v="SALE1891"/>
    <d v="2025-09-16T00:00:00"/>
    <s v="CUST1457"/>
    <s v="PROD81"/>
    <x v="12"/>
    <n v="3"/>
    <n v="825.33"/>
    <n v="0.21"/>
    <s v="Credit Card"/>
    <x v="1888"/>
  </r>
  <r>
    <s v="SALE1892"/>
    <d v="2023-12-09T00:00:00"/>
    <s v="CUST1059"/>
    <s v="PROD70"/>
    <x v="7"/>
    <n v="2"/>
    <n v="47.3"/>
    <n v="0.01"/>
    <s v="PayPal"/>
    <x v="1889"/>
  </r>
  <r>
    <s v="SALE1893"/>
    <d v="2024-07-20T00:00:00"/>
    <s v="CUST1171"/>
    <s v="PROD72"/>
    <x v="1"/>
    <n v="1"/>
    <n v="389.12"/>
    <n v="0.18"/>
    <s v="PayPal"/>
    <x v="1890"/>
  </r>
  <r>
    <s v="SALE1894"/>
    <d v="2024-09-23T00:00:00"/>
    <s v="CUST1458"/>
    <s v="PROD82"/>
    <x v="14"/>
    <n v="3"/>
    <n v="543.83000000000004"/>
    <n v="0.05"/>
    <s v="Credit Card"/>
    <x v="1891"/>
  </r>
  <r>
    <s v="SALE1895"/>
    <d v="2024-05-11T00:00:00"/>
    <s v="CUST1024"/>
    <s v="PROD14"/>
    <x v="8"/>
    <n v="2"/>
    <n v="660.27"/>
    <n v="0.01"/>
    <s v="PayPal"/>
    <x v="1892"/>
  </r>
  <r>
    <s v="SALE1896"/>
    <d v="2025-05-03T00:00:00"/>
    <s v="CUST1434"/>
    <s v="PROD13"/>
    <x v="2"/>
    <n v="4"/>
    <n v="729.31"/>
    <n v="0.03"/>
    <s v="Credit Card"/>
    <x v="1893"/>
  </r>
  <r>
    <s v="SALE1897"/>
    <d v="2024-02-23T00:00:00"/>
    <s v="CUST1421"/>
    <s v="PROD87"/>
    <x v="16"/>
    <n v="2"/>
    <n v="152.91"/>
    <n v="0.24"/>
    <s v="PayPal"/>
    <x v="1894"/>
  </r>
  <r>
    <s v="SALE1898"/>
    <d v="2024-02-22T00:00:00"/>
    <s v="CUST1461"/>
    <s v="PROD74"/>
    <x v="10"/>
    <n v="4"/>
    <n v="592.14"/>
    <n v="0.12"/>
    <s v="COD"/>
    <x v="1895"/>
  </r>
  <r>
    <s v="SALE1899"/>
    <d v="2024-08-21T00:00:00"/>
    <s v="CUST1062"/>
    <s v="PROD78"/>
    <x v="18"/>
    <n v="1"/>
    <n v="984.37"/>
    <n v="0"/>
    <s v="PayPal"/>
    <x v="1896"/>
  </r>
  <r>
    <s v="SALE1900"/>
    <d v="2024-02-07T00:00:00"/>
    <s v="CUST1292"/>
    <s v="PROD1"/>
    <x v="18"/>
    <n v="2"/>
    <n v="237.59"/>
    <n v="0.12"/>
    <s v="Credit Card"/>
    <x v="1897"/>
  </r>
  <r>
    <s v="SALE1901"/>
    <d v="2023-11-20T00:00:00"/>
    <s v="CUST1431"/>
    <s v="PROD25"/>
    <x v="2"/>
    <n v="1"/>
    <n v="52.06"/>
    <n v="0.27"/>
    <s v="COD"/>
    <x v="1898"/>
  </r>
  <r>
    <s v="SALE1902"/>
    <d v="2025-02-03T00:00:00"/>
    <s v="CUST1455"/>
    <s v="PROD3"/>
    <x v="8"/>
    <n v="2"/>
    <n v="594.63"/>
    <n v="0.12"/>
    <s v="Credit Card"/>
    <x v="1899"/>
  </r>
  <r>
    <s v="SALE1903"/>
    <d v="2024-12-18T00:00:00"/>
    <s v="CUST1167"/>
    <s v="PROD3"/>
    <x v="6"/>
    <n v="3"/>
    <n v="476.1"/>
    <n v="0.05"/>
    <s v="COD"/>
    <x v="1900"/>
  </r>
  <r>
    <s v="SALE1904"/>
    <d v="2024-08-10T00:00:00"/>
    <s v="CUST1061"/>
    <s v="PROD61"/>
    <x v="16"/>
    <n v="1"/>
    <n v="546.47"/>
    <n v="0.08"/>
    <s v="COD"/>
    <x v="1901"/>
  </r>
  <r>
    <s v="SALE1905"/>
    <d v="2025-04-13T00:00:00"/>
    <s v="CUST1176"/>
    <s v="PROD75"/>
    <x v="18"/>
    <n v="1"/>
    <n v="979.49"/>
    <n v="0.19"/>
    <s v="COD"/>
    <x v="1902"/>
  </r>
  <r>
    <s v="SALE1906"/>
    <d v="2023-12-29T00:00:00"/>
    <s v="CUST1193"/>
    <s v="PROD17"/>
    <x v="17"/>
    <n v="3"/>
    <n v="988.53"/>
    <n v="0.3"/>
    <s v="COD"/>
    <x v="1903"/>
  </r>
  <r>
    <s v="SALE1907"/>
    <d v="2025-02-16T00:00:00"/>
    <s v="CUST1255"/>
    <s v="PROD76"/>
    <x v="0"/>
    <n v="4"/>
    <n v="849.29"/>
    <n v="0.26"/>
    <s v="Credit Card"/>
    <x v="1904"/>
  </r>
  <r>
    <s v="SALE1908"/>
    <d v="2024-01-27T00:00:00"/>
    <s v="CUST1343"/>
    <s v="PROD95"/>
    <x v="7"/>
    <n v="2"/>
    <n v="452.29"/>
    <n v="0.01"/>
    <s v="COD"/>
    <x v="1905"/>
  </r>
  <r>
    <s v="SALE1909"/>
    <d v="2024-07-22T00:00:00"/>
    <s v="CUST1445"/>
    <s v="PROD54"/>
    <x v="14"/>
    <n v="2"/>
    <n v="810.81"/>
    <n v="0.11"/>
    <s v="COD"/>
    <x v="1906"/>
  </r>
  <r>
    <s v="SALE1910"/>
    <d v="2024-09-25T00:00:00"/>
    <s v="CUST1031"/>
    <s v="PROD61"/>
    <x v="2"/>
    <n v="1"/>
    <n v="846.67"/>
    <n v="0.1"/>
    <s v="COD"/>
    <x v="1907"/>
  </r>
  <r>
    <s v="SALE1911"/>
    <d v="2024-03-16T00:00:00"/>
    <s v="CUST1017"/>
    <s v="PROD24"/>
    <x v="16"/>
    <n v="4"/>
    <n v="73.55"/>
    <n v="0.24"/>
    <s v="COD"/>
    <x v="1908"/>
  </r>
  <r>
    <s v="SALE1912"/>
    <d v="2025-07-23T00:00:00"/>
    <s v="CUST1278"/>
    <s v="PROD92"/>
    <x v="16"/>
    <n v="1"/>
    <n v="882.03"/>
    <n v="0.04"/>
    <s v="COD"/>
    <x v="1909"/>
  </r>
  <r>
    <s v="SALE1913"/>
    <d v="2024-10-24T00:00:00"/>
    <s v="CUST1008"/>
    <s v="PROD22"/>
    <x v="7"/>
    <n v="1"/>
    <n v="958.44"/>
    <n v="0.21"/>
    <s v="Credit Card"/>
    <x v="1910"/>
  </r>
  <r>
    <s v="SALE1914"/>
    <d v="2024-09-25T00:00:00"/>
    <s v="CUST1008"/>
    <s v="PROD99"/>
    <x v="17"/>
    <n v="1"/>
    <n v="716.29"/>
    <n v="0.01"/>
    <s v="PayPal"/>
    <x v="1911"/>
  </r>
  <r>
    <s v="SALE1915"/>
    <d v="2024-04-26T00:00:00"/>
    <s v="CUST1323"/>
    <s v="PROD9"/>
    <x v="9"/>
    <n v="2"/>
    <n v="409.14"/>
    <n v="0.01"/>
    <s v="PayPal"/>
    <x v="1912"/>
  </r>
  <r>
    <s v="SALE1916"/>
    <d v="2025-02-26T00:00:00"/>
    <s v="CUST1084"/>
    <s v="PROD99"/>
    <x v="11"/>
    <n v="4"/>
    <n v="261.73"/>
    <n v="0.1"/>
    <s v="PayPal"/>
    <x v="1913"/>
  </r>
  <r>
    <s v="SALE1917"/>
    <d v="2025-01-04T00:00:00"/>
    <s v="CUST1466"/>
    <s v="PROD12"/>
    <x v="6"/>
    <n v="2"/>
    <n v="687.35"/>
    <n v="0.2"/>
    <s v="COD"/>
    <x v="1914"/>
  </r>
  <r>
    <s v="SALE1918"/>
    <d v="2025-09-21T00:00:00"/>
    <s v="CUST1207"/>
    <s v="PROD84"/>
    <x v="2"/>
    <n v="2"/>
    <n v="30.14"/>
    <n v="0.21"/>
    <s v="Credit Card"/>
    <x v="1915"/>
  </r>
  <r>
    <s v="SALE1919"/>
    <d v="2024-12-25T00:00:00"/>
    <s v="CUST1099"/>
    <s v="PROD34"/>
    <x v="2"/>
    <n v="3"/>
    <n v="570.12"/>
    <n v="0.12"/>
    <s v="PayPal"/>
    <x v="1916"/>
  </r>
  <r>
    <s v="SALE1920"/>
    <d v="2025-08-14T00:00:00"/>
    <s v="CUST1281"/>
    <s v="PROD77"/>
    <x v="12"/>
    <n v="3"/>
    <n v="401.87"/>
    <n v="0.28999999999999998"/>
    <s v="COD"/>
    <x v="1917"/>
  </r>
  <r>
    <s v="SALE1921"/>
    <d v="2024-11-28T00:00:00"/>
    <s v="CUST1496"/>
    <s v="PROD79"/>
    <x v="18"/>
    <n v="4"/>
    <n v="619.35"/>
    <n v="0.3"/>
    <s v="Credit Card"/>
    <x v="1918"/>
  </r>
  <r>
    <s v="SALE1922"/>
    <d v="2023-12-16T00:00:00"/>
    <s v="CUST1247"/>
    <s v="PROD46"/>
    <x v="1"/>
    <n v="4"/>
    <n v="569.36"/>
    <n v="0.27"/>
    <s v="PayPal"/>
    <x v="1919"/>
  </r>
  <r>
    <s v="SALE1923"/>
    <d v="2024-02-22T00:00:00"/>
    <s v="CUST1476"/>
    <s v="PROD27"/>
    <x v="5"/>
    <n v="2"/>
    <n v="846.35"/>
    <n v="0.3"/>
    <s v="COD"/>
    <x v="1920"/>
  </r>
  <r>
    <s v="SALE1924"/>
    <d v="2025-07-11T00:00:00"/>
    <s v="CUST1434"/>
    <s v="PROD30"/>
    <x v="17"/>
    <n v="1"/>
    <n v="788.45"/>
    <n v="0.28999999999999998"/>
    <s v="PayPal"/>
    <x v="1921"/>
  </r>
  <r>
    <s v="SALE1925"/>
    <d v="2025-08-11T00:00:00"/>
    <s v="CUST1360"/>
    <s v="PROD35"/>
    <x v="18"/>
    <n v="2"/>
    <n v="338.81"/>
    <n v="7.0000000000000007E-2"/>
    <s v="COD"/>
    <x v="1922"/>
  </r>
  <r>
    <s v="SALE1926"/>
    <d v="2025-09-07T00:00:00"/>
    <s v="CUST1026"/>
    <s v="PROD14"/>
    <x v="3"/>
    <n v="4"/>
    <n v="94.48"/>
    <n v="0.06"/>
    <s v="COD"/>
    <x v="1923"/>
  </r>
  <r>
    <s v="SALE1927"/>
    <d v="2024-09-10T00:00:00"/>
    <s v="CUST1477"/>
    <s v="PROD19"/>
    <x v="13"/>
    <n v="3"/>
    <n v="941.85"/>
    <n v="0.16"/>
    <s v="PayPal"/>
    <x v="1924"/>
  </r>
  <r>
    <s v="SALE1928"/>
    <d v="2023-11-27T00:00:00"/>
    <s v="CUST1161"/>
    <s v="PROD45"/>
    <x v="3"/>
    <n v="2"/>
    <n v="336.97"/>
    <n v="0.14000000000000001"/>
    <s v="PayPal"/>
    <x v="1925"/>
  </r>
  <r>
    <s v="SALE1929"/>
    <d v="2024-06-23T00:00:00"/>
    <s v="CUST1310"/>
    <s v="PROD5"/>
    <x v="3"/>
    <n v="2"/>
    <n v="344.16"/>
    <n v="0.09"/>
    <s v="PayPal"/>
    <x v="1926"/>
  </r>
  <r>
    <s v="SALE1930"/>
    <d v="2025-07-09T00:00:00"/>
    <s v="CUST1300"/>
    <s v="PROD48"/>
    <x v="11"/>
    <n v="1"/>
    <n v="841.53"/>
    <n v="0.15"/>
    <s v="Credit Card"/>
    <x v="1927"/>
  </r>
  <r>
    <s v="SALE1931"/>
    <d v="2025-06-17T00:00:00"/>
    <s v="CUST1424"/>
    <s v="PROD83"/>
    <x v="1"/>
    <n v="3"/>
    <n v="63.36"/>
    <n v="0.28999999999999998"/>
    <s v="COD"/>
    <x v="1928"/>
  </r>
  <r>
    <s v="SALE1932"/>
    <d v="2025-07-01T00:00:00"/>
    <s v="CUST1496"/>
    <s v="PROD78"/>
    <x v="2"/>
    <n v="2"/>
    <n v="552.49"/>
    <n v="0.1"/>
    <s v="Credit Card"/>
    <x v="1929"/>
  </r>
  <r>
    <s v="SALE1933"/>
    <d v="2025-03-04T00:00:00"/>
    <s v="CUST1236"/>
    <s v="PROD24"/>
    <x v="16"/>
    <n v="3"/>
    <n v="447.38"/>
    <n v="0.03"/>
    <s v="Credit Card"/>
    <x v="1930"/>
  </r>
  <r>
    <s v="SALE1934"/>
    <d v="2023-11-20T00:00:00"/>
    <s v="CUST1450"/>
    <s v="PROD73"/>
    <x v="12"/>
    <n v="1"/>
    <n v="727.7"/>
    <n v="0.21"/>
    <s v="COD"/>
    <x v="1931"/>
  </r>
  <r>
    <s v="SALE1935"/>
    <d v="2023-11-28T00:00:00"/>
    <s v="CUST1436"/>
    <s v="PROD51"/>
    <x v="4"/>
    <n v="4"/>
    <n v="581.34"/>
    <n v="0.08"/>
    <s v="Credit Card"/>
    <x v="1932"/>
  </r>
  <r>
    <s v="SALE1936"/>
    <d v="2025-05-16T00:00:00"/>
    <s v="CUST1096"/>
    <s v="PROD66"/>
    <x v="8"/>
    <n v="1"/>
    <n v="338.83"/>
    <n v="0.19"/>
    <s v="PayPal"/>
    <x v="1933"/>
  </r>
  <r>
    <s v="SALE1937"/>
    <d v="2023-12-05T00:00:00"/>
    <s v="CUST1285"/>
    <s v="PROD49"/>
    <x v="13"/>
    <n v="4"/>
    <n v="568.80999999999995"/>
    <n v="0.25"/>
    <s v="Credit Card"/>
    <x v="1934"/>
  </r>
  <r>
    <s v="SALE1938"/>
    <d v="2024-11-11T00:00:00"/>
    <s v="CUST1375"/>
    <s v="PROD61"/>
    <x v="1"/>
    <n v="2"/>
    <n v="352.63"/>
    <n v="0.15"/>
    <s v="PayPal"/>
    <x v="1935"/>
  </r>
  <r>
    <s v="SALE1939"/>
    <d v="2024-03-31T00:00:00"/>
    <s v="CUST1156"/>
    <s v="PROD96"/>
    <x v="13"/>
    <n v="2"/>
    <n v="629.86"/>
    <n v="0.15"/>
    <s v="PayPal"/>
    <x v="1936"/>
  </r>
  <r>
    <s v="SALE1940"/>
    <d v="2025-05-16T00:00:00"/>
    <s v="CUST1493"/>
    <s v="PROD98"/>
    <x v="0"/>
    <n v="3"/>
    <n v="212.08"/>
    <n v="7.0000000000000007E-2"/>
    <s v="Credit Card"/>
    <x v="1937"/>
  </r>
  <r>
    <s v="SALE1941"/>
    <d v="2024-10-25T00:00:00"/>
    <s v="CUST1161"/>
    <s v="PROD57"/>
    <x v="17"/>
    <n v="3"/>
    <n v="878.62"/>
    <n v="0.05"/>
    <s v="PayPal"/>
    <x v="1938"/>
  </r>
  <r>
    <s v="SALE1942"/>
    <d v="2025-01-22T00:00:00"/>
    <s v="CUST1261"/>
    <s v="PROD80"/>
    <x v="15"/>
    <n v="4"/>
    <n v="87.83"/>
    <n v="0.23"/>
    <s v="PayPal"/>
    <x v="1939"/>
  </r>
  <r>
    <s v="SALE1943"/>
    <d v="2025-06-06T00:00:00"/>
    <s v="CUST1275"/>
    <s v="PROD56"/>
    <x v="11"/>
    <n v="3"/>
    <n v="442.64"/>
    <n v="0.15"/>
    <s v="COD"/>
    <x v="1940"/>
  </r>
  <r>
    <s v="SALE1944"/>
    <d v="2025-05-18T00:00:00"/>
    <s v="CUST1093"/>
    <s v="PROD38"/>
    <x v="17"/>
    <n v="3"/>
    <n v="410.04"/>
    <n v="0.09"/>
    <s v="COD"/>
    <x v="1941"/>
  </r>
  <r>
    <s v="SALE1945"/>
    <d v="2025-05-20T00:00:00"/>
    <s v="CUST1133"/>
    <s v="PROD94"/>
    <x v="1"/>
    <n v="1"/>
    <n v="355.31"/>
    <n v="0.27"/>
    <s v="Credit Card"/>
    <x v="1942"/>
  </r>
  <r>
    <s v="SALE1946"/>
    <d v="2024-11-11T00:00:00"/>
    <s v="CUST1376"/>
    <s v="PROD9"/>
    <x v="13"/>
    <n v="4"/>
    <n v="243.13"/>
    <n v="0.25"/>
    <s v="COD"/>
    <x v="1943"/>
  </r>
  <r>
    <s v="SALE1947"/>
    <d v="2024-11-18T00:00:00"/>
    <s v="CUST1229"/>
    <s v="PROD59"/>
    <x v="19"/>
    <n v="2"/>
    <n v="410.63"/>
    <n v="0.28000000000000003"/>
    <s v="COD"/>
    <x v="1944"/>
  </r>
  <r>
    <s v="SALE1948"/>
    <d v="2024-01-02T00:00:00"/>
    <s v="CUST1425"/>
    <s v="PROD94"/>
    <x v="15"/>
    <n v="4"/>
    <n v="101.25"/>
    <n v="0.16"/>
    <s v="PayPal"/>
    <x v="1945"/>
  </r>
  <r>
    <s v="SALE1949"/>
    <d v="2024-01-10T00:00:00"/>
    <s v="CUST1226"/>
    <s v="PROD7"/>
    <x v="1"/>
    <n v="4"/>
    <n v="716.39"/>
    <n v="0.03"/>
    <s v="PayPal"/>
    <x v="1946"/>
  </r>
  <r>
    <s v="SALE1950"/>
    <d v="2024-01-20T00:00:00"/>
    <s v="CUST1094"/>
    <s v="PROD73"/>
    <x v="8"/>
    <n v="1"/>
    <n v="721.74"/>
    <n v="0.24"/>
    <s v="PayPal"/>
    <x v="1947"/>
  </r>
  <r>
    <s v="SALE1951"/>
    <d v="2025-02-14T00:00:00"/>
    <s v="CUST1054"/>
    <s v="PROD62"/>
    <x v="19"/>
    <n v="2"/>
    <n v="527.91"/>
    <n v="0.02"/>
    <s v="Credit Card"/>
    <x v="1948"/>
  </r>
  <r>
    <s v="SALE1952"/>
    <d v="2024-08-21T00:00:00"/>
    <s v="CUST1319"/>
    <s v="PROD52"/>
    <x v="13"/>
    <n v="2"/>
    <n v="945.92"/>
    <n v="0.19"/>
    <s v="COD"/>
    <x v="1949"/>
  </r>
  <r>
    <s v="SALE1953"/>
    <d v="2025-05-03T00:00:00"/>
    <s v="CUST1081"/>
    <s v="PROD56"/>
    <x v="1"/>
    <n v="2"/>
    <n v="981.35"/>
    <n v="0.16"/>
    <s v="PayPal"/>
    <x v="1950"/>
  </r>
  <r>
    <s v="SALE1954"/>
    <d v="2025-06-11T00:00:00"/>
    <s v="CUST1223"/>
    <s v="PROD59"/>
    <x v="0"/>
    <n v="1"/>
    <n v="913.99"/>
    <n v="0.14000000000000001"/>
    <s v="Credit Card"/>
    <x v="1951"/>
  </r>
  <r>
    <s v="SALE1955"/>
    <d v="2025-07-25T00:00:00"/>
    <s v="CUST1011"/>
    <s v="PROD66"/>
    <x v="2"/>
    <n v="4"/>
    <n v="270.69"/>
    <n v="0.18"/>
    <s v="PayPal"/>
    <x v="1952"/>
  </r>
  <r>
    <s v="SALE1956"/>
    <d v="2025-01-30T00:00:00"/>
    <s v="CUST1161"/>
    <s v="PROD77"/>
    <x v="16"/>
    <n v="3"/>
    <n v="998.58"/>
    <n v="0.02"/>
    <s v="Credit Card"/>
    <x v="1953"/>
  </r>
  <r>
    <s v="SALE1957"/>
    <d v="2025-05-29T00:00:00"/>
    <s v="CUST1456"/>
    <s v="PROD37"/>
    <x v="11"/>
    <n v="3"/>
    <n v="765.12"/>
    <n v="0.18"/>
    <s v="Credit Card"/>
    <x v="1954"/>
  </r>
  <r>
    <s v="SALE1958"/>
    <d v="2023-10-17T00:00:00"/>
    <s v="CUST1072"/>
    <s v="PROD64"/>
    <x v="12"/>
    <n v="3"/>
    <n v="449.99"/>
    <n v="0.17"/>
    <s v="COD"/>
    <x v="1955"/>
  </r>
  <r>
    <s v="SALE1959"/>
    <d v="2024-12-13T00:00:00"/>
    <s v="CUST1252"/>
    <s v="PROD43"/>
    <x v="19"/>
    <n v="2"/>
    <n v="249.02"/>
    <n v="0.01"/>
    <s v="COD"/>
    <x v="1956"/>
  </r>
  <r>
    <s v="SALE1960"/>
    <d v="2024-06-11T00:00:00"/>
    <s v="CUST1137"/>
    <s v="PROD57"/>
    <x v="12"/>
    <n v="3"/>
    <n v="223.64"/>
    <n v="0.05"/>
    <s v="Credit Card"/>
    <x v="1957"/>
  </r>
  <r>
    <s v="SALE1961"/>
    <d v="2025-10-04T00:00:00"/>
    <s v="CUST1106"/>
    <s v="PROD24"/>
    <x v="5"/>
    <n v="2"/>
    <n v="92.94"/>
    <n v="0.12"/>
    <s v="Credit Card"/>
    <x v="1958"/>
  </r>
  <r>
    <s v="SALE1962"/>
    <d v="2024-04-19T00:00:00"/>
    <s v="CUST1361"/>
    <s v="PROD16"/>
    <x v="17"/>
    <n v="4"/>
    <n v="268.3"/>
    <n v="0.02"/>
    <s v="COD"/>
    <x v="1959"/>
  </r>
  <r>
    <s v="SALE1963"/>
    <d v="2025-04-23T00:00:00"/>
    <s v="CUST1442"/>
    <s v="PROD59"/>
    <x v="12"/>
    <n v="4"/>
    <n v="835.61"/>
    <n v="0.03"/>
    <s v="Credit Card"/>
    <x v="1960"/>
  </r>
  <r>
    <s v="SALE1964"/>
    <d v="2024-04-23T00:00:00"/>
    <s v="CUST1382"/>
    <s v="PROD68"/>
    <x v="3"/>
    <n v="3"/>
    <n v="120.97"/>
    <n v="0.11"/>
    <s v="Credit Card"/>
    <x v="1961"/>
  </r>
  <r>
    <s v="SALE1965"/>
    <d v="2024-05-12T00:00:00"/>
    <s v="CUST1030"/>
    <s v="PROD40"/>
    <x v="11"/>
    <n v="2"/>
    <n v="26.36"/>
    <n v="0.03"/>
    <s v="COD"/>
    <x v="1962"/>
  </r>
  <r>
    <s v="SALE1966"/>
    <d v="2025-08-12T00:00:00"/>
    <s v="CUST1033"/>
    <s v="PROD77"/>
    <x v="16"/>
    <n v="1"/>
    <n v="918.87"/>
    <n v="0.11"/>
    <s v="PayPal"/>
    <x v="1963"/>
  </r>
  <r>
    <s v="SALE1967"/>
    <d v="2025-05-17T00:00:00"/>
    <s v="CUST1031"/>
    <s v="PROD67"/>
    <x v="19"/>
    <n v="2"/>
    <n v="924.73"/>
    <n v="0.28999999999999998"/>
    <s v="PayPal"/>
    <x v="1964"/>
  </r>
  <r>
    <s v="SALE1968"/>
    <d v="2025-01-08T00:00:00"/>
    <s v="CUST1021"/>
    <s v="PROD12"/>
    <x v="15"/>
    <n v="3"/>
    <n v="195.31"/>
    <n v="0.13"/>
    <s v="COD"/>
    <x v="1965"/>
  </r>
  <r>
    <s v="SALE1969"/>
    <d v="2025-05-16T00:00:00"/>
    <s v="CUST1142"/>
    <s v="PROD38"/>
    <x v="2"/>
    <n v="1"/>
    <n v="91.38"/>
    <n v="0.14000000000000001"/>
    <s v="Credit Card"/>
    <x v="1966"/>
  </r>
  <r>
    <s v="SALE1970"/>
    <d v="2024-09-28T00:00:00"/>
    <s v="CUST1483"/>
    <s v="PROD86"/>
    <x v="19"/>
    <n v="2"/>
    <n v="494.35"/>
    <n v="0.1"/>
    <s v="Credit Card"/>
    <x v="1967"/>
  </r>
  <r>
    <s v="SALE1971"/>
    <d v="2024-10-12T00:00:00"/>
    <s v="CUST1255"/>
    <s v="PROD24"/>
    <x v="15"/>
    <n v="1"/>
    <n v="412.2"/>
    <n v="0.11"/>
    <s v="Credit Card"/>
    <x v="1968"/>
  </r>
  <r>
    <s v="SALE1972"/>
    <d v="2024-06-23T00:00:00"/>
    <s v="CUST1394"/>
    <s v="PROD79"/>
    <x v="9"/>
    <n v="1"/>
    <n v="650.47"/>
    <n v="0.13"/>
    <s v="PayPal"/>
    <x v="1969"/>
  </r>
  <r>
    <s v="SALE1973"/>
    <d v="2023-11-26T00:00:00"/>
    <s v="CUST1155"/>
    <s v="PROD14"/>
    <x v="18"/>
    <n v="1"/>
    <n v="68.209999999999994"/>
    <n v="0.05"/>
    <s v="PayPal"/>
    <x v="1970"/>
  </r>
  <r>
    <s v="SALE1974"/>
    <d v="2025-08-17T00:00:00"/>
    <s v="CUST1135"/>
    <s v="PROD53"/>
    <x v="4"/>
    <n v="2"/>
    <n v="842.89"/>
    <n v="0.25"/>
    <s v="COD"/>
    <x v="1971"/>
  </r>
  <r>
    <s v="SALE1975"/>
    <d v="2024-04-08T00:00:00"/>
    <s v="CUST1300"/>
    <s v="PROD5"/>
    <x v="5"/>
    <n v="2"/>
    <n v="227.95"/>
    <n v="0.24"/>
    <s v="COD"/>
    <x v="1972"/>
  </r>
  <r>
    <s v="SALE1976"/>
    <d v="2024-04-06T00:00:00"/>
    <s v="CUST1192"/>
    <s v="PROD66"/>
    <x v="18"/>
    <n v="3"/>
    <n v="685.97"/>
    <n v="0.24"/>
    <s v="PayPal"/>
    <x v="1973"/>
  </r>
  <r>
    <s v="SALE1977"/>
    <d v="2025-05-16T00:00:00"/>
    <s v="CUST1365"/>
    <s v="PROD29"/>
    <x v="17"/>
    <n v="1"/>
    <n v="722.57"/>
    <n v="0.18"/>
    <s v="Credit Card"/>
    <x v="1974"/>
  </r>
  <r>
    <s v="SALE1978"/>
    <d v="2024-11-19T00:00:00"/>
    <s v="CUST1140"/>
    <s v="PROD35"/>
    <x v="3"/>
    <n v="3"/>
    <n v="585.54999999999995"/>
    <n v="0.14000000000000001"/>
    <s v="COD"/>
    <x v="1975"/>
  </r>
  <r>
    <s v="SALE1979"/>
    <d v="2025-01-09T00:00:00"/>
    <s v="CUST1309"/>
    <s v="PROD46"/>
    <x v="13"/>
    <n v="2"/>
    <n v="635.80999999999995"/>
    <n v="0.13"/>
    <s v="PayPal"/>
    <x v="1976"/>
  </r>
  <r>
    <s v="SALE1980"/>
    <d v="2024-12-18T00:00:00"/>
    <s v="CUST1277"/>
    <s v="PROD14"/>
    <x v="5"/>
    <n v="2"/>
    <n v="353.74"/>
    <n v="0.01"/>
    <s v="Credit Card"/>
    <x v="1977"/>
  </r>
  <r>
    <s v="SALE1981"/>
    <d v="2024-12-22T00:00:00"/>
    <s v="CUST1264"/>
    <s v="PROD36"/>
    <x v="4"/>
    <n v="1"/>
    <n v="377.52"/>
    <n v="0.15"/>
    <s v="Credit Card"/>
    <x v="1978"/>
  </r>
  <r>
    <s v="SALE1982"/>
    <d v="2024-07-27T00:00:00"/>
    <s v="CUST1205"/>
    <s v="PROD68"/>
    <x v="17"/>
    <n v="3"/>
    <n v="901.49"/>
    <n v="0"/>
    <s v="Credit Card"/>
    <x v="1979"/>
  </r>
  <r>
    <s v="SALE1983"/>
    <d v="2025-05-29T00:00:00"/>
    <s v="CUST1200"/>
    <s v="PROD30"/>
    <x v="3"/>
    <n v="1"/>
    <n v="563.01"/>
    <n v="0.1"/>
    <s v="Credit Card"/>
    <x v="1980"/>
  </r>
  <r>
    <s v="SALE1984"/>
    <d v="2024-03-14T00:00:00"/>
    <s v="CUST1052"/>
    <s v="PROD70"/>
    <x v="16"/>
    <n v="4"/>
    <n v="167.25"/>
    <n v="0.11"/>
    <s v="Credit Card"/>
    <x v="1981"/>
  </r>
  <r>
    <s v="SALE1985"/>
    <d v="2023-10-30T00:00:00"/>
    <s v="CUST1454"/>
    <s v="PROD60"/>
    <x v="14"/>
    <n v="3"/>
    <n v="345.43"/>
    <n v="0.08"/>
    <s v="COD"/>
    <x v="1982"/>
  </r>
  <r>
    <s v="SALE1986"/>
    <d v="2024-02-27T00:00:00"/>
    <s v="CUST1308"/>
    <s v="PROD82"/>
    <x v="11"/>
    <n v="4"/>
    <n v="752.48"/>
    <n v="0.23"/>
    <s v="Credit Card"/>
    <x v="1983"/>
  </r>
  <r>
    <s v="SALE1987"/>
    <d v="2025-08-17T00:00:00"/>
    <s v="CUST1449"/>
    <s v="PROD57"/>
    <x v="12"/>
    <n v="1"/>
    <n v="120.02"/>
    <n v="0.26"/>
    <s v="Credit Card"/>
    <x v="1984"/>
  </r>
  <r>
    <s v="SALE1988"/>
    <d v="2024-03-08T00:00:00"/>
    <s v="CUST1323"/>
    <s v="PROD41"/>
    <x v="2"/>
    <n v="3"/>
    <n v="146.71"/>
    <n v="0.28000000000000003"/>
    <s v="Credit Card"/>
    <x v="1985"/>
  </r>
  <r>
    <s v="SALE1989"/>
    <d v="2025-03-14T00:00:00"/>
    <s v="CUST1082"/>
    <s v="PROD64"/>
    <x v="6"/>
    <n v="2"/>
    <n v="358.87"/>
    <n v="0.24"/>
    <s v="Credit Card"/>
    <x v="1986"/>
  </r>
  <r>
    <s v="SALE1990"/>
    <d v="2024-06-13T00:00:00"/>
    <s v="CUST1241"/>
    <s v="PROD52"/>
    <x v="0"/>
    <n v="4"/>
    <n v="212.75"/>
    <n v="0.11"/>
    <s v="COD"/>
    <x v="1987"/>
  </r>
  <r>
    <s v="SALE1991"/>
    <d v="2024-06-07T00:00:00"/>
    <s v="CUST1327"/>
    <s v="PROD45"/>
    <x v="19"/>
    <n v="1"/>
    <n v="183.47"/>
    <n v="0.17"/>
    <s v="PayPal"/>
    <x v="1988"/>
  </r>
  <r>
    <s v="SALE1992"/>
    <d v="2024-07-20T00:00:00"/>
    <s v="CUST1068"/>
    <s v="PROD89"/>
    <x v="10"/>
    <n v="4"/>
    <n v="569.98"/>
    <n v="0.23"/>
    <s v="Credit Card"/>
    <x v="1989"/>
  </r>
  <r>
    <s v="SALE1993"/>
    <d v="2023-12-14T00:00:00"/>
    <s v="CUST1472"/>
    <s v="PROD21"/>
    <x v="18"/>
    <n v="3"/>
    <n v="984.12"/>
    <n v="0.27"/>
    <s v="Credit Card"/>
    <x v="1990"/>
  </r>
  <r>
    <s v="SALE1994"/>
    <d v="2025-07-06T00:00:00"/>
    <s v="CUST1473"/>
    <s v="PROD84"/>
    <x v="2"/>
    <n v="1"/>
    <n v="905.23"/>
    <n v="0"/>
    <s v="Credit Card"/>
    <x v="1991"/>
  </r>
  <r>
    <s v="SALE1995"/>
    <d v="2023-12-04T00:00:00"/>
    <s v="CUST1186"/>
    <s v="PROD99"/>
    <x v="12"/>
    <n v="3"/>
    <n v="112.77"/>
    <n v="0.19"/>
    <s v="Credit Card"/>
    <x v="1992"/>
  </r>
  <r>
    <s v="SALE1996"/>
    <d v="2025-04-26T00:00:00"/>
    <s v="CUST1161"/>
    <s v="PROD35"/>
    <x v="2"/>
    <n v="3"/>
    <n v="875.99"/>
    <n v="0.09"/>
    <s v="PayPal"/>
    <x v="1993"/>
  </r>
  <r>
    <s v="SALE1997"/>
    <d v="2024-06-17T00:00:00"/>
    <s v="CUST1128"/>
    <s v="PROD89"/>
    <x v="15"/>
    <n v="2"/>
    <n v="685.31"/>
    <n v="0.26"/>
    <s v="PayPal"/>
    <x v="1994"/>
  </r>
  <r>
    <s v="SALE1998"/>
    <d v="2024-11-11T00:00:00"/>
    <s v="CUST1052"/>
    <s v="PROD61"/>
    <x v="19"/>
    <n v="3"/>
    <n v="945.37"/>
    <n v="0.05"/>
    <s v="Credit Card"/>
    <x v="1995"/>
  </r>
  <r>
    <s v="SALE1999"/>
    <d v="2023-12-07T00:00:00"/>
    <s v="CUST1023"/>
    <s v="PROD76"/>
    <x v="12"/>
    <n v="3"/>
    <n v="68.45"/>
    <n v="0.17"/>
    <s v="PayPal"/>
    <x v="1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s v="SALE0"/>
    <d v="2024-07-07T00:00:00"/>
    <s v="CUST1409"/>
    <s v="PROD97"/>
    <s v="STORE3"/>
    <n v="1"/>
    <n v="218.04"/>
    <n v="0.09"/>
    <s v="Credit Card"/>
    <n v="198.41640000000001"/>
  </r>
  <r>
    <s v="SALE1"/>
    <d v="2023-12-25T00:00:00"/>
    <s v="CUST1467"/>
    <s v="PROD74"/>
    <s v="STORE17"/>
    <n v="3"/>
    <n v="104.47"/>
    <n v="0.27"/>
    <s v="PayPal"/>
    <n v="228.7893"/>
  </r>
  <r>
    <s v="SALE2"/>
    <d v="2024-06-03T00:00:00"/>
    <s v="CUST1056"/>
    <s v="PROD49"/>
    <s v="STORE8"/>
    <n v="4"/>
    <n v="914.05"/>
    <n v="0.25"/>
    <s v="Credit Card"/>
    <n v="2742.15"/>
  </r>
  <r>
    <s v="SALE3"/>
    <d v="2023-11-29T00:00:00"/>
    <s v="CUST1346"/>
    <s v="PROD76"/>
    <s v="STORE8"/>
    <n v="1"/>
    <n v="921.51"/>
    <n v="0.16"/>
    <s v="COD"/>
    <n v="774.0684"/>
  </r>
  <r>
    <s v="SALE4"/>
    <d v="2024-01-06T00:00:00"/>
    <s v="CUST1493"/>
    <s v="PROD59"/>
    <s v="STORE5"/>
    <n v="3"/>
    <n v="745.3"/>
    <n v="0.18"/>
    <s v="Credit Card"/>
    <n v="1833.4380000000001"/>
  </r>
  <r>
    <s v="SALE5"/>
    <d v="2024-07-26T00:00:00"/>
    <s v="CUST1116"/>
    <s v="PROD15"/>
    <s v="STORE7"/>
    <n v="3"/>
    <n v="147.01"/>
    <n v="0.19"/>
    <s v="COD"/>
    <n v="357.23430000000002"/>
  </r>
  <r>
    <s v="SALE6"/>
    <d v="2025-07-12T00:00:00"/>
    <s v="CUST1016"/>
    <s v="PROD56"/>
    <s v="STORE4"/>
    <n v="2"/>
    <n v="785.31"/>
    <n v="0.15"/>
    <s v="PayPal"/>
    <n v="1335.027"/>
  </r>
  <r>
    <s v="SALE7"/>
    <d v="2023-11-18T00:00:00"/>
    <s v="CUST1152"/>
    <s v="PROD70"/>
    <s v="STORE8"/>
    <n v="4"/>
    <n v="342.39"/>
    <n v="0.23"/>
    <s v="PayPal"/>
    <n v="1054.5612000000001"/>
  </r>
  <r>
    <s v="SALE8"/>
    <d v="2025-05-04T00:00:00"/>
    <s v="CUST1187"/>
    <s v="PROD99"/>
    <s v="STORE5"/>
    <m/>
    <n v="448.25"/>
    <n v="7.0000000000000007E-2"/>
    <s v="PayPal"/>
    <n v="1250.6175000000001"/>
  </r>
  <r>
    <s v="SALE9"/>
    <d v="2025-07-31T00:00:00"/>
    <s v="CUST1464"/>
    <s v="PROD33"/>
    <s v="STORE0"/>
    <n v="2"/>
    <n v="873.17"/>
    <n v="0.23"/>
    <s v="PayPal"/>
    <n v="1344.6818000000001"/>
  </r>
  <r>
    <s v="SALE10"/>
    <d v="2024-02-13T00:00:00"/>
    <s v="CUST1065"/>
    <s v="PROD24"/>
    <s v="STORE14"/>
    <n v="1"/>
    <n v="278.63"/>
    <n v="7.0000000000000007E-2"/>
    <s v="Credit Card"/>
    <n v="259.1259"/>
  </r>
  <r>
    <s v="SALE11"/>
    <d v="2025-05-24T00:00:00"/>
    <s v="CUST1320"/>
    <s v="PROD39"/>
    <s v="STORE1"/>
    <n v="4"/>
    <n v="286.92"/>
    <n v="0.17"/>
    <s v="Credit Card"/>
    <n v="952.57439999999997"/>
  </r>
  <r>
    <s v="SALE12"/>
    <d v="2024-08-24T00:00:00"/>
    <s v="CUST1237"/>
    <s v="PROD88"/>
    <s v="STORE4"/>
    <n v="4"/>
    <n v="644.58000000000004"/>
    <n v="0.01"/>
    <s v="Credit Card"/>
    <n v="2552.5367999999999"/>
  </r>
  <r>
    <s v="SALE13"/>
    <d v="2025-08-06T00:00:00"/>
    <s v="CUST1443"/>
    <s v="PROD34"/>
    <s v="STORE16"/>
    <n v="2"/>
    <n v="316.89999999999998"/>
    <n v="0.3"/>
    <s v="PayPal"/>
    <n v="443.66"/>
  </r>
  <r>
    <s v="SALE14"/>
    <d v="2025-06-21T00:00:00"/>
    <s v="CUST1348"/>
    <s v="PROD24"/>
    <s v="STORE15"/>
    <n v="4"/>
    <n v="403.47"/>
    <n v="0.28999999999999998"/>
    <s v="PayPal"/>
    <n v="1145.8548000000001"/>
  </r>
  <r>
    <s v="SALE15"/>
    <d v="2024-12-10T00:00:00"/>
    <s v="CUST1435"/>
    <s v="PROD36"/>
    <s v="STORE9"/>
    <m/>
    <n v="871.34"/>
    <n v="0.04"/>
    <s v="COD"/>
    <n v="2509.4591999999998"/>
  </r>
  <r>
    <s v="SALE16"/>
    <d v="2025-09-13T00:00:00"/>
    <s v="CUST1276"/>
    <s v="PROD65"/>
    <s v="STORE19"/>
    <n v="2"/>
    <n v="451.98"/>
    <n v="0.25"/>
    <s v="Credit Card"/>
    <n v="677.97"/>
  </r>
  <r>
    <s v="SALE17"/>
    <d v="2024-12-11T00:00:00"/>
    <s v="CUST1079"/>
    <s v="PROD27"/>
    <s v="STORE4"/>
    <n v="2"/>
    <n v="502.69"/>
    <n v="0.23"/>
    <s v="Credit Card"/>
    <n v="774.14260000000002"/>
  </r>
  <r>
    <s v="SALE18"/>
    <d v="2024-08-13T00:00:00"/>
    <s v="CUST1094"/>
    <s v="PROD39"/>
    <s v="STORE4"/>
    <n v="2"/>
    <n v="559.23"/>
    <n v="0.25"/>
    <s v="COD"/>
    <n v="838.84500000000003"/>
  </r>
  <r>
    <s v="SALE19"/>
    <d v="2024-03-18T00:00:00"/>
    <s v="CUST1239"/>
    <s v="PROD60"/>
    <s v="STORE13"/>
    <n v="4"/>
    <m/>
    <n v="0.04"/>
    <s v="COD"/>
    <n v="1782.4512"/>
  </r>
  <r>
    <s v="SALE20"/>
    <d v="2025-07-05T00:00:00"/>
    <s v="CUST1144"/>
    <s v="PROD72"/>
    <s v="STORE17"/>
    <n v="3"/>
    <n v="986.04"/>
    <n v="0.27"/>
    <s v="COD"/>
    <n v="2159.4276"/>
  </r>
  <r>
    <s v="SALE21"/>
    <d v="2024-06-04T00:00:00"/>
    <s v="CUST1396"/>
    <s v="PROD43"/>
    <s v="STORE18"/>
    <n v="1"/>
    <n v="589.55999999999995"/>
    <n v="0.22"/>
    <s v="Credit Card"/>
    <n v="459.85680000000002"/>
  </r>
  <r>
    <s v="SALE22"/>
    <d v="2024-04-12T00:00:00"/>
    <s v="CUST1476"/>
    <s v="PROD69"/>
    <s v="STORE10"/>
    <n v="3"/>
    <n v="979.42"/>
    <n v="0.03"/>
    <s v="PayPal"/>
    <n v="2850.1122"/>
  </r>
  <r>
    <s v="SALE23"/>
    <d v="2024-06-23T00:00:00"/>
    <s v="CUST1368"/>
    <s v="PROD12"/>
    <s v="STORE8"/>
    <n v="1"/>
    <n v="719.28"/>
    <n v="0.08"/>
    <s v="Credit Card"/>
    <n v="661.73760000000004"/>
  </r>
  <r>
    <s v="SALE24"/>
    <d v="2025-09-08T00:00:00"/>
    <s v="CUST1186"/>
    <s v="PROD67"/>
    <s v="STORE6"/>
    <n v="3"/>
    <n v="77.599999999999994"/>
    <n v="7.0000000000000007E-2"/>
    <s v="Credit Card"/>
    <n v="216.50399999999999"/>
  </r>
  <r>
    <s v="SALE25"/>
    <d v="2024-09-17T00:00:00"/>
    <s v="CUST1381"/>
    <s v="PROD5"/>
    <s v="STORE3"/>
    <n v="4"/>
    <n v="852.71"/>
    <n v="0.14000000000000001"/>
    <s v="PayPal"/>
    <n v="2933.3224"/>
  </r>
  <r>
    <s v="SALE26"/>
    <d v="2024-01-03T00:00:00"/>
    <s v="CUST1213"/>
    <s v="PROD98"/>
    <s v="STORE8"/>
    <n v="4"/>
    <n v="156.16"/>
    <m/>
    <s v="Credit Card"/>
    <n v="599.65440000000001"/>
  </r>
  <r>
    <s v="SALE27"/>
    <d v="2025-02-22T00:00:00"/>
    <s v="CUST1200"/>
    <s v="PROD77"/>
    <s v="STORE8"/>
    <n v="3"/>
    <n v="815.49"/>
    <n v="0.17"/>
    <s v="Credit Card"/>
    <n v="2030.5700999999999"/>
  </r>
  <r>
    <s v="SALE28"/>
    <d v="2025-09-23T00:00:00"/>
    <s v="CUST1148"/>
    <s v="PROD13"/>
    <s v="STORE2"/>
    <n v="2"/>
    <n v="74.209999999999994"/>
    <n v="0.11"/>
    <s v="PayPal"/>
    <n v="132.09379999999999"/>
  </r>
  <r>
    <s v="SALE29"/>
    <d v="2024-01-11T00:00:00"/>
    <s v="CUST1348"/>
    <s v="PROD99"/>
    <s v="STORE3"/>
    <m/>
    <n v="451.67"/>
    <n v="0.15"/>
    <s v="Credit Card"/>
    <n v="1535.6780000000001"/>
  </r>
  <r>
    <s v="SALE30"/>
    <d v="2023-10-18T00:00:00"/>
    <s v="CUST1028"/>
    <s v="PROD5"/>
    <s v="STORE19"/>
    <n v="1"/>
    <n v="429.38"/>
    <n v="0.13"/>
    <s v="PayPal"/>
    <n v="373.56060000000002"/>
  </r>
  <r>
    <s v="SALE31"/>
    <d v="2024-10-28T00:00:00"/>
    <s v="CUST1412"/>
    <s v="PROD53"/>
    <s v="STORE12"/>
    <n v="2"/>
    <n v="148.96"/>
    <n v="0.03"/>
    <s v="COD"/>
    <n v="288.98239999999998"/>
  </r>
  <r>
    <s v="SALE32"/>
    <d v="2024-11-01T00:00:00"/>
    <s v="CUST1398"/>
    <s v="PROD75"/>
    <s v="STORE8"/>
    <n v="4"/>
    <n v="313.83"/>
    <n v="0.08"/>
    <s v="Credit Card"/>
    <n v="1154.8943999999999"/>
  </r>
  <r>
    <s v="SALE33"/>
    <d v="2024-11-24T00:00:00"/>
    <s v="CUST1453"/>
    <s v="PROD12"/>
    <s v="STORE6"/>
    <n v="2"/>
    <n v="717.31"/>
    <n v="0.15"/>
    <s v="Credit Card"/>
    <n v="1219.4269999999999"/>
  </r>
  <r>
    <s v="SALE34"/>
    <d v="2023-10-16T00:00:00"/>
    <s v="CUST1344"/>
    <s v="PROD79"/>
    <s v="STORE1"/>
    <m/>
    <n v="873.22"/>
    <n v="0.18"/>
    <s v="Credit Card"/>
    <n v="2148.1212"/>
  </r>
  <r>
    <s v="SALE35"/>
    <d v="2025-08-09T00:00:00"/>
    <s v="CUST1218"/>
    <s v="PROD16"/>
    <s v="STORE3"/>
    <n v="4"/>
    <n v="109.36"/>
    <n v="0.19"/>
    <s v="COD"/>
    <n v="354.32639999999998"/>
  </r>
  <r>
    <s v="SALE36"/>
    <d v="2024-12-09T00:00:00"/>
    <s v="CUST1086"/>
    <s v="PROD5"/>
    <s v="STORE7"/>
    <n v="3"/>
    <n v="559.52"/>
    <n v="0.16"/>
    <s v="PayPal"/>
    <n v="1409.9903999999999"/>
  </r>
  <r>
    <s v="SALE37"/>
    <d v="2024-02-07T00:00:00"/>
    <s v="CUST1492"/>
    <s v="PROD10"/>
    <s v="STORE17"/>
    <n v="3"/>
    <n v="121.76"/>
    <n v="0.27"/>
    <s v="PayPal"/>
    <n v="266.65440000000001"/>
  </r>
  <r>
    <s v="SALE38"/>
    <d v="2024-03-27T00:00:00"/>
    <s v="CUST1189"/>
    <s v="PROD33"/>
    <s v="STORE13"/>
    <n v="4"/>
    <n v="735.32"/>
    <n v="0.06"/>
    <s v="COD"/>
    <n v="2764.8031999999998"/>
  </r>
  <r>
    <s v="SALE39"/>
    <d v="2023-12-04T00:00:00"/>
    <s v="CUST1431"/>
    <s v="PROD94"/>
    <s v="STORE3"/>
    <n v="2"/>
    <n v="600.73"/>
    <n v="0.08"/>
    <s v="Credit Card"/>
    <n v="1105.3432"/>
  </r>
  <r>
    <s v="SALE40"/>
    <d v="2024-07-13T00:00:00"/>
    <s v="CUST1072"/>
    <s v="PROD26"/>
    <s v="STORE19"/>
    <n v="2"/>
    <n v="873.86"/>
    <n v="7.0000000000000007E-2"/>
    <s v="COD"/>
    <n v="1625.3796"/>
  </r>
  <r>
    <s v="SALE41"/>
    <d v="2023-11-11T00:00:00"/>
    <s v="CUST1302"/>
    <s v="PROD23"/>
    <s v="STORE8"/>
    <n v="3"/>
    <n v="342.47"/>
    <n v="0.08"/>
    <s v="PayPal"/>
    <n v="945.21720000000016"/>
  </r>
  <r>
    <s v="SALE42"/>
    <d v="2024-12-23T00:00:00"/>
    <s v="CUST1335"/>
    <s v="PROD29"/>
    <s v="STORE9"/>
    <n v="2"/>
    <n v="915.15"/>
    <n v="0.16"/>
    <s v="PayPal"/>
    <n v="1537.452"/>
  </r>
  <r>
    <s v="SALE43"/>
    <d v="2025-01-20T00:00:00"/>
    <s v="CUST1084"/>
    <s v="PROD33"/>
    <s v="STORE17"/>
    <m/>
    <n v="863.11"/>
    <n v="0.28000000000000003"/>
    <s v="PayPal"/>
    <n v="1864.3176000000001"/>
  </r>
  <r>
    <s v="SALE44"/>
    <d v="2024-09-03T00:00:00"/>
    <s v="CUST1203"/>
    <s v="PROD43"/>
    <s v="STORE12"/>
    <n v="2"/>
    <n v="209.32"/>
    <n v="0.23"/>
    <s v="COD"/>
    <n v="322.3528"/>
  </r>
  <r>
    <s v="SALE45"/>
    <d v="2024-11-10T00:00:00"/>
    <s v="CUST1470"/>
    <s v="PROD59"/>
    <s v="STORE8"/>
    <n v="4"/>
    <n v="288.60000000000002"/>
    <n v="0.09"/>
    <s v="PayPal"/>
    <n v="1050.5039999999999"/>
  </r>
  <r>
    <s v="SALE46"/>
    <d v="2024-10-05T00:00:00"/>
    <s v="CUST1070"/>
    <s v="PROD78"/>
    <s v="STORE16"/>
    <n v="1"/>
    <n v="418.69"/>
    <n v="0.06"/>
    <s v="PayPal"/>
    <n v="393.5686"/>
  </r>
  <r>
    <s v="SALE47"/>
    <d v="2024-06-23T00:00:00"/>
    <s v="CUST1008"/>
    <s v="PROD30"/>
    <s v="STORE11"/>
    <n v="1"/>
    <n v="135.78"/>
    <n v="0.14000000000000001"/>
    <s v="PayPal"/>
    <n v="116.77079999999999"/>
  </r>
  <r>
    <s v="SALE48"/>
    <d v="2023-10-19T00:00:00"/>
    <s v="CUST1203"/>
    <s v="PROD44"/>
    <s v="STORE17"/>
    <n v="1"/>
    <n v="517.13"/>
    <n v="0.28000000000000003"/>
    <s v="Credit Card"/>
    <n v="372.33359999999999"/>
  </r>
  <r>
    <s v="SALE49"/>
    <d v="2024-11-11T00:00:00"/>
    <s v="CUST1420"/>
    <s v="PROD21"/>
    <s v="STORE16"/>
    <n v="2"/>
    <n v="384.66"/>
    <n v="0.08"/>
    <s v="COD"/>
    <n v="707.77440000000013"/>
  </r>
  <r>
    <s v="SALE50"/>
    <d v="2023-12-31T00:00:00"/>
    <s v="CUST1070"/>
    <s v="PROD52"/>
    <s v="STORE9"/>
    <n v="3"/>
    <n v="83.7"/>
    <n v="0.24"/>
    <s v="PayPal"/>
    <n v="190.83600000000001"/>
  </r>
  <r>
    <s v="SALE51"/>
    <d v="2025-02-01T00:00:00"/>
    <s v="CUST1142"/>
    <s v="PROD69"/>
    <s v="STORE7"/>
    <n v="3"/>
    <n v="76.569999999999993"/>
    <n v="0.26"/>
    <s v="Credit Card"/>
    <n v="169.9854"/>
  </r>
  <r>
    <s v="SALE52"/>
    <d v="2025-08-25T00:00:00"/>
    <s v="CUST1148"/>
    <s v="PROD89"/>
    <s v="STORE6"/>
    <n v="3"/>
    <m/>
    <m/>
    <s v="Credit Card"/>
    <n v="486.06330000000003"/>
  </r>
  <r>
    <s v="SALE53"/>
    <d v="2025-01-20T00:00:00"/>
    <s v="CUST1324"/>
    <s v="PROD20"/>
    <s v="STORE8"/>
    <n v="1"/>
    <n v="900.35"/>
    <n v="0.13"/>
    <s v="COD"/>
    <n v="783.30449999999996"/>
  </r>
  <r>
    <s v="SALE54"/>
    <d v="2025-02-18T00:00:00"/>
    <s v="CUST1095"/>
    <s v="PROD40"/>
    <s v="STORE10"/>
    <n v="4"/>
    <n v="428.09"/>
    <n v="7.0000000000000007E-2"/>
    <s v="Credit Card"/>
    <n v="1592.4947999999999"/>
  </r>
  <r>
    <s v="SALE55"/>
    <d v="2024-10-24T00:00:00"/>
    <s v="CUST1416"/>
    <s v="PROD49"/>
    <s v="STORE11"/>
    <n v="2"/>
    <n v="559.71"/>
    <n v="0.3"/>
    <s v="COD"/>
    <n v="783.59400000000005"/>
  </r>
  <r>
    <s v="SALE56"/>
    <d v="2023-12-22T00:00:00"/>
    <s v="CUST1080"/>
    <s v="PROD34"/>
    <s v="STORE6"/>
    <n v="2"/>
    <n v="833.7"/>
    <n v="0.06"/>
    <s v="PayPal"/>
    <n v="1567.356"/>
  </r>
  <r>
    <s v="SALE57"/>
    <d v="2024-06-19T00:00:00"/>
    <s v="CUST1467"/>
    <s v="PROD47"/>
    <s v="STORE14"/>
    <n v="2"/>
    <n v="680.16"/>
    <n v="0.28000000000000003"/>
    <s v="Credit Card"/>
    <n v="979.43039999999996"/>
  </r>
  <r>
    <s v="SALE58"/>
    <d v="2024-12-07T00:00:00"/>
    <s v="CUST1404"/>
    <s v="PROD15"/>
    <s v="STORE7"/>
    <n v="4"/>
    <n v="733.42"/>
    <m/>
    <s v="PayPal"/>
    <n v="2552.3015999999998"/>
  </r>
  <r>
    <s v="SALE59"/>
    <d v="2023-11-27T00:00:00"/>
    <s v="CUST1367"/>
    <s v="PROD89"/>
    <s v="STORE11"/>
    <n v="1"/>
    <n v="996.33"/>
    <n v="0.23"/>
    <s v="PayPal"/>
    <n v="767.17410000000007"/>
  </r>
  <r>
    <s v="SALE60"/>
    <d v="2025-07-16T00:00:00"/>
    <s v="CUST1408"/>
    <s v="PROD31"/>
    <s v="STORE10"/>
    <n v="1"/>
    <n v="198.83"/>
    <n v="0.09"/>
    <s v="COD"/>
    <n v="180.93530000000001"/>
  </r>
  <r>
    <s v="SALE61"/>
    <d v="2025-02-28T00:00:00"/>
    <s v="CUST1239"/>
    <s v="PROD19"/>
    <s v="STORE7"/>
    <n v="1"/>
    <n v="374.92"/>
    <n v="0.18"/>
    <s v="PayPal"/>
    <n v="307.43439999999998"/>
  </r>
  <r>
    <s v="SALE62"/>
    <d v="2024-08-11T00:00:00"/>
    <s v="CUST1464"/>
    <s v="PROD93"/>
    <s v="STORE16"/>
    <n v="1"/>
    <n v="468.94"/>
    <n v="0.12"/>
    <s v="Credit Card"/>
    <n v="412.66719999999998"/>
  </r>
  <r>
    <s v="SALE63"/>
    <d v="2025-09-27T00:00:00"/>
    <s v="CUST1126"/>
    <s v="PROD89"/>
    <s v="STORE12"/>
    <n v="2"/>
    <n v="121.37"/>
    <n v="0.05"/>
    <s v="Credit Card"/>
    <n v="230.60300000000001"/>
  </r>
  <r>
    <s v="SALE64"/>
    <d v="2025-09-14T00:00:00"/>
    <s v="CUST1255"/>
    <s v="PROD53"/>
    <s v="STORE10"/>
    <n v="3"/>
    <n v="480.06"/>
    <n v="0.01"/>
    <s v="Credit Card"/>
    <m/>
  </r>
  <r>
    <s v="SALE65"/>
    <d v="2023-12-30T00:00:00"/>
    <s v="CUST1162"/>
    <s v="PROD99"/>
    <s v="STORE17"/>
    <n v="2"/>
    <n v="856.57"/>
    <n v="0.24"/>
    <s v="Credit Card"/>
    <n v="1301.9864"/>
  </r>
  <r>
    <s v="SALE66"/>
    <d v="2023-10-14T00:00:00"/>
    <s v="CUST1269"/>
    <s v="PROD77"/>
    <s v="STORE2"/>
    <n v="4"/>
    <n v="814.25"/>
    <n v="0.18"/>
    <s v="Credit Card"/>
    <n v="2670.74"/>
  </r>
  <r>
    <s v="SALE67"/>
    <d v="2023-11-25T00:00:00"/>
    <s v="CUST1483"/>
    <s v="PROD12"/>
    <s v="STORE2"/>
    <n v="1"/>
    <n v="989.17"/>
    <n v="0.2"/>
    <s v="PayPal"/>
    <n v="791.33600000000001"/>
  </r>
  <r>
    <s v="SALE68"/>
    <d v="2023-12-10T00:00:00"/>
    <s v="CUST1372"/>
    <s v="PROD72"/>
    <s v="STORE10"/>
    <n v="4"/>
    <n v="62.48"/>
    <n v="0.18"/>
    <s v="Credit Card"/>
    <n v="204.93440000000001"/>
  </r>
  <r>
    <s v="SALE69"/>
    <d v="2025-08-28T00:00:00"/>
    <s v="CUST1423"/>
    <s v="PROD13"/>
    <s v="STORE16"/>
    <n v="4"/>
    <n v="561.24"/>
    <n v="0.24"/>
    <s v="Credit Card"/>
    <n v="1706.1695999999999"/>
  </r>
  <r>
    <s v="SALE70"/>
    <d v="2025-07-11T00:00:00"/>
    <s v="CUST1058"/>
    <s v="PROD60"/>
    <s v="STORE5"/>
    <n v="3"/>
    <n v="92.24"/>
    <n v="0.28000000000000003"/>
    <s v="COD"/>
    <m/>
  </r>
  <r>
    <s v="SALE71"/>
    <d v="2025-08-20T00:00:00"/>
    <s v="CUST1168"/>
    <s v="PROD72"/>
    <s v="STORE1"/>
    <n v="2"/>
    <n v="668.3"/>
    <n v="7.0000000000000007E-2"/>
    <s v="Credit Card"/>
    <n v="1243.038"/>
  </r>
  <r>
    <s v="SALE72"/>
    <d v="2024-08-29T00:00:00"/>
    <s v="CUST1409"/>
    <s v="PROD38"/>
    <s v="STORE5"/>
    <n v="1"/>
    <n v="553.82000000000005"/>
    <n v="0.09"/>
    <s v="Credit Card"/>
    <n v="503.97620000000012"/>
  </r>
  <r>
    <s v="SALE73"/>
    <d v="2024-11-30T00:00:00"/>
    <s v="CUST1037"/>
    <s v="PROD45"/>
    <s v="STORE11"/>
    <n v="2"/>
    <n v="556.42999999999995"/>
    <n v="0.13"/>
    <s v="Credit Card"/>
    <n v="968.18819999999994"/>
  </r>
  <r>
    <s v="SALE74"/>
    <d v="2025-10-12T00:00:00"/>
    <s v="CUST1273"/>
    <s v="PROD20"/>
    <s v="STORE8"/>
    <n v="1"/>
    <n v="184.98"/>
    <n v="0.1"/>
    <s v="COD"/>
    <n v="166.482"/>
  </r>
  <r>
    <s v="SALE75"/>
    <d v="2024-07-27T00:00:00"/>
    <s v="CUST1035"/>
    <s v="PROD97"/>
    <s v="STORE12"/>
    <n v="4"/>
    <n v="700.18"/>
    <n v="0.23"/>
    <s v="Credit Card"/>
    <n v="2156.5544"/>
  </r>
  <r>
    <s v="SALE76"/>
    <d v="2023-12-25T00:00:00"/>
    <s v="CUST1019"/>
    <s v="PROD76"/>
    <s v="STORE10"/>
    <n v="2"/>
    <n v="686.31"/>
    <n v="0.25"/>
    <s v="Credit Card"/>
    <n v="1029.4649999999999"/>
  </r>
  <r>
    <s v="SALE77"/>
    <d v="2025-05-23T00:00:00"/>
    <s v="CUST1007"/>
    <s v="PROD67"/>
    <s v="STORE15"/>
    <n v="1"/>
    <n v="687.82"/>
    <n v="0.27"/>
    <s v="COD"/>
    <n v="502.10860000000002"/>
  </r>
  <r>
    <s v="SALE78"/>
    <d v="2024-11-13T00:00:00"/>
    <s v="CUST1221"/>
    <s v="PROD83"/>
    <s v="STORE8"/>
    <n v="2"/>
    <n v="900.55"/>
    <n v="0.16"/>
    <s v="Credit Card"/>
    <n v="1512.924"/>
  </r>
  <r>
    <s v="SALE79"/>
    <d v="2023-12-08T00:00:00"/>
    <s v="CUST1115"/>
    <s v="PROD21"/>
    <s v="STORE2"/>
    <n v="1"/>
    <n v="341.17"/>
    <n v="0.15"/>
    <s v="Credit Card"/>
    <n v="289.99450000000002"/>
  </r>
  <r>
    <s v="SALE80"/>
    <d v="2025-08-16T00:00:00"/>
    <s v="CUST1176"/>
    <s v="PROD52"/>
    <s v="STORE8"/>
    <n v="1"/>
    <n v="442.27"/>
    <n v="0.06"/>
    <s v="COD"/>
    <n v="415.73379999999997"/>
  </r>
  <r>
    <s v="SALE81"/>
    <d v="2024-11-20T00:00:00"/>
    <s v="CUST1253"/>
    <s v="PROD71"/>
    <s v="STORE9"/>
    <n v="1"/>
    <n v="363.73"/>
    <n v="0.25"/>
    <s v="PayPal"/>
    <n v="272.79750000000001"/>
  </r>
  <r>
    <s v="SALE82"/>
    <d v="2024-08-14T00:00:00"/>
    <s v="CUST1378"/>
    <s v="PROD91"/>
    <s v="STORE17"/>
    <n v="2"/>
    <n v="601.33000000000004"/>
    <n v="0.16"/>
    <s v="PayPal"/>
    <n v="1010.2344000000001"/>
  </r>
  <r>
    <s v="SALE83"/>
    <d v="2024-05-15T00:00:00"/>
    <s v="CUST1403"/>
    <s v="PROD17"/>
    <s v="STORE18"/>
    <n v="4"/>
    <n v="34.39"/>
    <n v="0.03"/>
    <s v="PayPal"/>
    <n v="133.4332"/>
  </r>
  <r>
    <s v="SALE84"/>
    <d v="2023-12-08T00:00:00"/>
    <s v="CUST1423"/>
    <s v="PROD46"/>
    <s v="STORE17"/>
    <n v="1"/>
    <n v="773.57"/>
    <n v="0.05"/>
    <s v="COD"/>
    <m/>
  </r>
  <r>
    <s v="SALE85"/>
    <d v="2023-12-22T00:00:00"/>
    <s v="CUST1054"/>
    <s v="PROD88"/>
    <s v="STORE7"/>
    <n v="4"/>
    <n v="127.1"/>
    <n v="0.24"/>
    <s v="COD"/>
    <n v="386.38400000000001"/>
  </r>
  <r>
    <s v="SALE86"/>
    <d v="2024-09-10T00:00:00"/>
    <s v="CUST1303"/>
    <s v="PROD20"/>
    <s v="STORE3"/>
    <n v="3"/>
    <n v="899.58"/>
    <n v="0.28000000000000003"/>
    <s v="PayPal"/>
    <n v="1943.0927999999999"/>
  </r>
  <r>
    <s v="SALE87"/>
    <d v="2025-04-08T00:00:00"/>
    <s v="CUST1327"/>
    <s v="PROD1"/>
    <s v="STORE10"/>
    <n v="3"/>
    <n v="964.39"/>
    <n v="0.04"/>
    <s v="Credit Card"/>
    <n v="2777.4432000000002"/>
  </r>
  <r>
    <s v="SALE88"/>
    <d v="2024-10-23T00:00:00"/>
    <s v="CUST1183"/>
    <s v="PROD38"/>
    <s v="STORE0"/>
    <n v="2"/>
    <n v="217.83"/>
    <n v="0.14000000000000001"/>
    <s v="PayPal"/>
    <n v="374.66759999999999"/>
  </r>
  <r>
    <s v="SALE89"/>
    <d v="2025-07-10T00:00:00"/>
    <s v="CUST1143"/>
    <s v="PROD17"/>
    <s v="STORE1"/>
    <n v="4"/>
    <n v="187.71"/>
    <n v="0.06"/>
    <s v="COD"/>
    <n v="705.78959999999995"/>
  </r>
  <r>
    <s v="SALE90"/>
    <d v="2024-10-12T00:00:00"/>
    <s v="CUST1010"/>
    <s v="PROD33"/>
    <s v="STORE18"/>
    <n v="2"/>
    <n v="350.12"/>
    <n v="0.12"/>
    <s v="COD"/>
    <n v="616.21119999999996"/>
  </r>
  <r>
    <s v="SALE91"/>
    <d v="2024-01-21T00:00:00"/>
    <s v="CUST1406"/>
    <s v="PROD16"/>
    <s v="STORE1"/>
    <n v="4"/>
    <n v="102.19"/>
    <n v="0.17"/>
    <s v="PayPal"/>
    <n v="339.27080000000001"/>
  </r>
  <r>
    <s v="SALE92"/>
    <d v="2024-02-28T00:00:00"/>
    <s v="CUST1007"/>
    <s v="PROD86"/>
    <s v="STORE4"/>
    <n v="1"/>
    <n v="696.53"/>
    <n v="0.17"/>
    <s v="Credit Card"/>
    <n v="578.11989999999992"/>
  </r>
  <r>
    <s v="SALE93"/>
    <d v="2024-12-31T00:00:00"/>
    <s v="CUST1065"/>
    <s v="PROD19"/>
    <s v="STORE4"/>
    <n v="2"/>
    <n v="327.52"/>
    <n v="0.15"/>
    <s v="PayPal"/>
    <n v="556.78399999999999"/>
  </r>
  <r>
    <s v="SALE94"/>
    <d v="2024-08-26T00:00:00"/>
    <s v="CUST1298"/>
    <s v="PROD97"/>
    <s v="STORE19"/>
    <n v="2"/>
    <n v="569.36"/>
    <n v="0.01"/>
    <s v="PayPal"/>
    <m/>
  </r>
  <r>
    <s v="SALE95"/>
    <d v="2024-09-21T00:00:00"/>
    <s v="CUST1321"/>
    <s v="PROD99"/>
    <s v="STORE6"/>
    <n v="2"/>
    <n v="68.290000000000006"/>
    <n v="0.14000000000000001"/>
    <s v="COD"/>
    <n v="117.4588"/>
  </r>
  <r>
    <s v="SALE96"/>
    <d v="2024-08-19T00:00:00"/>
    <s v="CUST1244"/>
    <s v="PROD50"/>
    <s v="STORE10"/>
    <n v="1"/>
    <n v="842.9"/>
    <n v="0.06"/>
    <s v="COD"/>
    <n v="792.32599999999991"/>
  </r>
  <r>
    <s v="SALE97"/>
    <d v="2024-10-22T00:00:00"/>
    <s v="CUST1287"/>
    <s v="PROD3"/>
    <s v="STORE3"/>
    <n v="3"/>
    <n v="751.94"/>
    <n v="0.26"/>
    <s v="PayPal"/>
    <n v="1669.3068000000001"/>
  </r>
  <r>
    <s v="SALE98"/>
    <d v="2024-10-15T00:00:00"/>
    <s v="CUST1131"/>
    <s v="PROD56"/>
    <s v="STORE7"/>
    <n v="4"/>
    <n v="476.28"/>
    <n v="0.17"/>
    <s v="Credit Card"/>
    <n v="1581.2496000000001"/>
  </r>
  <r>
    <s v="SALE99"/>
    <d v="2024-07-06T00:00:00"/>
    <s v="CUST1325"/>
    <s v="PROD54"/>
    <s v="STORE3"/>
    <n v="3"/>
    <n v="541.99"/>
    <n v="0.24"/>
    <s v="COD"/>
    <n v="1235.73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7:C44" firstHeaderRow="1" firstDataRow="1" firstDataCol="0"/>
  <pivotFields count="1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3">
  <location ref="A3:B24" firstHeaderRow="1" firstDataRow="1" firstDataCol="1"/>
  <pivotFields count="10">
    <pivotField showAll="0"/>
    <pivotField numFmtId="164" showAll="0"/>
    <pivotField showAll="0"/>
    <pivotField showAll="0"/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showAll="0"/>
    <pivotField showAll="0"/>
    <pivotField showAll="0"/>
    <pivotField dataField="1" showAll="0">
      <items count="1998">
        <item x="921"/>
        <item x="826"/>
        <item x="1674"/>
        <item x="1739"/>
        <item x="470"/>
        <item x="719"/>
        <item x="892"/>
        <item x="824"/>
        <item x="581"/>
        <item x="1225"/>
        <item x="1028"/>
        <item x="1850"/>
        <item x="397"/>
        <item x="1152"/>
        <item x="1290"/>
        <item x="1548"/>
        <item x="1898"/>
        <item x="1828"/>
        <item x="1210"/>
        <item x="881"/>
        <item x="1819"/>
        <item x="1365"/>
        <item x="1915"/>
        <item x="1373"/>
        <item x="1745"/>
        <item x="525"/>
        <item x="1962"/>
        <item x="575"/>
        <item x="1161"/>
        <item x="1692"/>
        <item x="1685"/>
        <item x="503"/>
        <item x="1330"/>
        <item x="602"/>
        <item x="591"/>
        <item x="917"/>
        <item x="986"/>
        <item x="1614"/>
        <item x="953"/>
        <item x="674"/>
        <item x="1660"/>
        <item x="1876"/>
        <item x="1970"/>
        <item x="1289"/>
        <item x="1069"/>
        <item x="328"/>
        <item x="996"/>
        <item x="662"/>
        <item x="626"/>
        <item x="1117"/>
        <item x="519"/>
        <item x="1024"/>
        <item x="121"/>
        <item x="326"/>
        <item x="310"/>
        <item x="1734"/>
        <item x="174"/>
        <item x="1256"/>
        <item x="1564"/>
        <item x="678"/>
        <item x="1966"/>
        <item x="462"/>
        <item x="154"/>
        <item x="1465"/>
        <item x="1163"/>
        <item x="724"/>
        <item x="410"/>
        <item x="1247"/>
        <item x="723"/>
        <item x="1590"/>
        <item x="796"/>
        <item x="1182"/>
        <item x="894"/>
        <item x="1444"/>
        <item x="1637"/>
        <item x="1984"/>
        <item x="1459"/>
        <item x="1093"/>
        <item x="597"/>
        <item x="1124"/>
        <item x="1889"/>
        <item x="1770"/>
        <item x="155"/>
        <item x="1323"/>
        <item x="334"/>
        <item x="1859"/>
        <item x="1713"/>
        <item x="412"/>
        <item x="1758"/>
        <item x="747"/>
        <item x="1414"/>
        <item x="1742"/>
        <item x="1840"/>
        <item x="1664"/>
        <item x="1385"/>
        <item x="1304"/>
        <item x="1596"/>
        <item x="1592"/>
        <item x="379"/>
        <item x="1302"/>
        <item x="919"/>
        <item x="167"/>
        <item x="1680"/>
        <item x="1712"/>
        <item x="253"/>
        <item x="1243"/>
        <item x="972"/>
        <item x="1458"/>
        <item x="115"/>
        <item x="632"/>
        <item x="1045"/>
        <item x="47"/>
        <item x="92"/>
        <item x="744"/>
        <item x="1879"/>
        <item x="580"/>
        <item x="898"/>
        <item x="1240"/>
        <item x="932"/>
        <item x="1131"/>
        <item x="1606"/>
        <item x="204"/>
        <item x="1416"/>
        <item x="1512"/>
        <item x="1388"/>
        <item x="1837"/>
        <item x="1047"/>
        <item x="380"/>
        <item x="1804"/>
        <item x="1886"/>
        <item x="430"/>
        <item x="1557"/>
        <item x="1724"/>
        <item x="1140"/>
        <item x="28"/>
        <item x="512"/>
        <item x="1806"/>
        <item x="82"/>
        <item x="513"/>
        <item x="1928"/>
        <item x="1543"/>
        <item x="737"/>
        <item x="1060"/>
        <item x="178"/>
        <item x="1506"/>
        <item x="1310"/>
        <item x="897"/>
        <item x="866"/>
        <item x="505"/>
        <item x="1582"/>
        <item x="1327"/>
        <item x="1873"/>
        <item x="1064"/>
        <item x="1884"/>
        <item x="417"/>
        <item x="345"/>
        <item x="1508"/>
        <item x="1043"/>
        <item x="1296"/>
        <item x="1701"/>
        <item x="1988"/>
        <item x="1788"/>
        <item x="361"/>
        <item x="286"/>
        <item x="936"/>
        <item x="1097"/>
        <item x="1259"/>
        <item x="362"/>
        <item x="1011"/>
        <item x="1165"/>
        <item x="716"/>
        <item x="1958"/>
        <item x="641"/>
        <item x="487"/>
        <item x="1434"/>
        <item x="73"/>
        <item x="1831"/>
        <item x="1578"/>
        <item x="1547"/>
        <item x="51"/>
        <item x="1996"/>
        <item x="844"/>
        <item x="1429"/>
        <item x="1624"/>
        <item x="1610"/>
        <item x="419"/>
        <item x="755"/>
        <item x="278"/>
        <item x="1700"/>
        <item x="255"/>
        <item x="60"/>
        <item x="1527"/>
        <item x="1006"/>
        <item x="1833"/>
        <item x="1655"/>
        <item x="1501"/>
        <item x="1531"/>
        <item x="1211"/>
        <item x="324"/>
        <item x="1173"/>
        <item x="50"/>
        <item x="673"/>
        <item x="644"/>
        <item x="1354"/>
        <item x="156"/>
        <item x="1158"/>
        <item x="149"/>
        <item x="1263"/>
        <item x="1646"/>
        <item x="268"/>
        <item x="1076"/>
        <item x="0"/>
        <item x="664"/>
        <item x="1779"/>
        <item x="1111"/>
        <item x="315"/>
        <item x="1768"/>
        <item x="886"/>
        <item x="243"/>
        <item x="134"/>
        <item x="1224"/>
        <item x="68"/>
        <item x="718"/>
        <item x="295"/>
        <item x="1022"/>
        <item x="1018"/>
        <item x="906"/>
        <item x="1286"/>
        <item x="1249"/>
        <item x="666"/>
        <item x="116"/>
        <item x="640"/>
        <item x="441"/>
        <item x="24"/>
        <item x="499"/>
        <item x="1677"/>
        <item x="712"/>
        <item x="316"/>
        <item x="732"/>
        <item x="502"/>
        <item x="1587"/>
        <item x="1104"/>
        <item x="1694"/>
        <item x="1908"/>
        <item x="1277"/>
        <item x="388"/>
        <item x="110"/>
        <item x="1599"/>
        <item x="1"/>
        <item x="365"/>
        <item x="1409"/>
        <item x="1500"/>
        <item x="1238"/>
        <item x="1584"/>
        <item x="871"/>
        <item x="1546"/>
        <item x="63"/>
        <item x="765"/>
        <item x="667"/>
        <item x="1156"/>
        <item x="1894"/>
        <item x="657"/>
        <item x="472"/>
        <item x="1811"/>
        <item x="809"/>
        <item x="1676"/>
        <item x="629"/>
        <item x="1707"/>
        <item x="168"/>
        <item x="1393"/>
        <item x="1308"/>
        <item x="585"/>
        <item x="840"/>
        <item x="1009"/>
        <item x="910"/>
        <item x="630"/>
        <item x="1545"/>
        <item x="772"/>
        <item x="236"/>
        <item x="1356"/>
        <item x="579"/>
        <item x="1325"/>
        <item x="1138"/>
        <item x="10"/>
        <item x="1942"/>
        <item x="777"/>
        <item x="1258"/>
        <item x="838"/>
        <item x="1027"/>
        <item x="1691"/>
        <item x="190"/>
        <item x="1212"/>
        <item x="635"/>
        <item x="37"/>
        <item x="943"/>
        <item x="690"/>
        <item x="1538"/>
        <item x="311"/>
        <item x="1401"/>
        <item x="1939"/>
        <item x="1690"/>
        <item x="307"/>
        <item x="761"/>
        <item x="905"/>
        <item x="1446"/>
        <item x="80"/>
        <item x="131"/>
        <item x="1322"/>
        <item x="1992"/>
        <item x="1933"/>
        <item x="611"/>
        <item x="507"/>
        <item x="1021"/>
        <item x="1798"/>
        <item x="1185"/>
        <item x="214"/>
        <item x="1328"/>
        <item x="1555"/>
        <item x="1675"/>
        <item x="31"/>
        <item x="78"/>
        <item x="1380"/>
        <item x="216"/>
        <item x="1184"/>
        <item x="1435"/>
        <item x="1598"/>
        <item x="277"/>
        <item x="390"/>
        <item x="151"/>
        <item x="544"/>
        <item x="372"/>
        <item x="1731"/>
        <item x="1186"/>
        <item x="1632"/>
        <item x="548"/>
        <item x="1086"/>
        <item x="873"/>
        <item x="61"/>
        <item x="735"/>
        <item x="863"/>
        <item x="1625"/>
        <item x="1376"/>
        <item x="1478"/>
        <item x="779"/>
        <item x="1644"/>
        <item x="1618"/>
        <item x="265"/>
        <item x="915"/>
        <item x="1985"/>
        <item x="743"/>
        <item x="1785"/>
        <item x="675"/>
        <item x="1890"/>
        <item x="819"/>
        <item x="698"/>
        <item x="1978"/>
        <item x="44"/>
        <item x="1961"/>
        <item x="622"/>
        <item x="1427"/>
        <item x="494"/>
        <item x="1575"/>
        <item x="1460"/>
        <item x="969"/>
        <item x="304"/>
        <item x="1510"/>
        <item x="1826"/>
        <item x="314"/>
        <item x="1214"/>
        <item x="369"/>
        <item x="631"/>
        <item x="542"/>
        <item x="1251"/>
        <item x="1477"/>
        <item x="1220"/>
        <item x="1719"/>
        <item x="1782"/>
        <item x="89"/>
        <item x="338"/>
        <item x="1428"/>
        <item x="1421"/>
        <item x="1945"/>
        <item x="1801"/>
        <item x="497"/>
        <item x="1347"/>
        <item x="1303"/>
        <item x="1485"/>
        <item x="952"/>
        <item x="335"/>
        <item x="1972"/>
        <item x="280"/>
        <item x="795"/>
        <item x="1464"/>
        <item x="231"/>
        <item x="1559"/>
        <item x="1166"/>
        <item x="1101"/>
        <item x="888"/>
        <item x="35"/>
        <item x="1790"/>
        <item x="966"/>
        <item x="1923"/>
        <item x="793"/>
        <item x="1053"/>
        <item x="293"/>
        <item x="1030"/>
        <item x="5"/>
        <item x="239"/>
        <item x="1489"/>
        <item x="1382"/>
        <item x="1005"/>
        <item x="792"/>
        <item x="1442"/>
        <item x="1569"/>
        <item x="1231"/>
        <item x="1784"/>
        <item x="1572"/>
        <item x="774"/>
        <item x="1710"/>
        <item x="722"/>
        <item x="1968"/>
        <item x="756"/>
        <item x="868"/>
        <item x="778"/>
        <item x="642"/>
        <item x="925"/>
        <item x="1350"/>
        <item x="1392"/>
        <item x="48"/>
        <item x="138"/>
        <item x="30"/>
        <item x="808"/>
        <item x="1353"/>
        <item x="1020"/>
        <item x="202"/>
        <item x="86"/>
        <item x="1357"/>
        <item x="1498"/>
        <item x="291"/>
        <item x="119"/>
        <item x="539"/>
        <item x="1751"/>
        <item x="195"/>
        <item x="1877"/>
        <item x="891"/>
        <item x="1391"/>
        <item x="1593"/>
        <item x="1164"/>
        <item x="1523"/>
        <item x="83"/>
        <item x="483"/>
        <item x="262"/>
        <item x="607"/>
        <item x="889"/>
        <item x="213"/>
        <item x="1601"/>
        <item x="665"/>
        <item x="1518"/>
        <item x="727"/>
        <item x="738"/>
        <item x="46"/>
        <item x="271"/>
        <item x="1012"/>
        <item x="1345"/>
        <item x="1620"/>
        <item x="1130"/>
        <item x="250"/>
        <item x="1167"/>
        <item x="1145"/>
        <item x="753"/>
        <item x="467"/>
        <item x="1408"/>
        <item x="62"/>
        <item x="1717"/>
        <item x="1492"/>
        <item x="354"/>
        <item x="79"/>
        <item x="209"/>
        <item x="1897"/>
        <item x="1470"/>
        <item x="422"/>
        <item x="526"/>
        <item x="1179"/>
        <item x="319"/>
        <item x="687"/>
        <item x="645"/>
        <item x="290"/>
        <item x="468"/>
        <item x="1447"/>
        <item x="647"/>
        <item x="481"/>
        <item x="671"/>
        <item x="784"/>
        <item x="1730"/>
        <item x="1180"/>
        <item x="1077"/>
        <item x="817"/>
        <item x="460"/>
        <item x="1626"/>
        <item x="1134"/>
        <item x="1483"/>
        <item x="534"/>
        <item x="875"/>
        <item x="344"/>
        <item x="459"/>
        <item x="437"/>
        <item x="984"/>
        <item x="1816"/>
        <item x="281"/>
        <item x="963"/>
        <item x="13"/>
        <item x="1494"/>
        <item x="1274"/>
        <item x="404"/>
        <item x="704"/>
        <item x="1014"/>
        <item x="1390"/>
        <item x="1168"/>
        <item x="509"/>
        <item x="1315"/>
        <item x="1013"/>
        <item x="1649"/>
        <item x="541"/>
        <item x="158"/>
        <item x="1613"/>
        <item x="371"/>
        <item x="1386"/>
        <item x="1867"/>
        <item x="21"/>
        <item x="546"/>
        <item x="842"/>
        <item x="478"/>
        <item x="825"/>
        <item x="1868"/>
        <item x="1832"/>
        <item x="1037"/>
        <item x="1050"/>
        <item x="750"/>
        <item x="1522"/>
        <item x="1332"/>
        <item x="235"/>
        <item x="598"/>
        <item x="493"/>
        <item x="160"/>
        <item x="924"/>
        <item x="145"/>
        <item x="985"/>
        <item x="358"/>
        <item x="1091"/>
        <item x="729"/>
        <item x="288"/>
        <item x="794"/>
        <item x="1861"/>
        <item x="556"/>
        <item x="804"/>
        <item x="161"/>
        <item x="52"/>
        <item x="1363"/>
        <item x="1807"/>
        <item x="1556"/>
        <item x="1812"/>
        <item x="957"/>
        <item x="1034"/>
        <item x="1001"/>
        <item x="1805"/>
        <item x="289"/>
        <item x="1956"/>
        <item x="1766"/>
        <item x="900"/>
        <item x="395"/>
        <item x="799"/>
        <item x="249"/>
        <item x="709"/>
        <item x="130"/>
        <item x="1687"/>
        <item x="701"/>
        <item x="615"/>
        <item x="789"/>
        <item x="1537"/>
        <item x="76"/>
        <item x="1486"/>
        <item x="1708"/>
        <item x="1319"/>
        <item x="1901"/>
        <item x="913"/>
        <item x="71"/>
        <item x="1980"/>
        <item x="1761"/>
        <item x="1035"/>
        <item x="1965"/>
        <item x="1740"/>
        <item x="1605"/>
        <item x="438"/>
        <item x="1381"/>
        <item x="1252"/>
        <item x="1726"/>
        <item x="1123"/>
        <item x="1136"/>
        <item x="1487"/>
        <item x="1778"/>
        <item x="1432"/>
        <item x="914"/>
        <item x="186"/>
        <item x="920"/>
        <item x="879"/>
        <item x="1349"/>
        <item x="523"/>
        <item x="194"/>
        <item x="1133"/>
        <item x="708"/>
        <item x="1085"/>
        <item x="1741"/>
        <item x="1475"/>
        <item x="1279"/>
        <item x="219"/>
        <item x="1235"/>
        <item x="1229"/>
        <item x="822"/>
        <item x="1461"/>
        <item x="360"/>
        <item x="902"/>
        <item x="1854"/>
        <item x="1396"/>
        <item x="1672"/>
        <item x="141"/>
        <item x="938"/>
        <item x="180"/>
        <item x="1468"/>
        <item x="1407"/>
        <item x="916"/>
        <item x="1986"/>
        <item x="1757"/>
        <item x="1190"/>
        <item x="318"/>
        <item x="1371"/>
        <item x="1206"/>
        <item x="126"/>
        <item x="1947"/>
        <item x="1818"/>
        <item x="282"/>
        <item x="1791"/>
        <item x="816"/>
        <item x="91"/>
        <item x="634"/>
        <item x="210"/>
        <item x="402"/>
        <item x="1921"/>
        <item x="616"/>
        <item x="496"/>
        <item x="1643"/>
        <item x="144"/>
        <item x="1869"/>
        <item x="818"/>
        <item x="1969"/>
        <item x="439"/>
        <item x="1095"/>
        <item x="954"/>
        <item x="1764"/>
        <item x="492"/>
        <item x="1160"/>
        <item x="1360"/>
        <item x="693"/>
        <item x="1271"/>
        <item x="420"/>
        <item x="926"/>
        <item x="1706"/>
        <item x="731"/>
        <item x="1880"/>
        <item x="498"/>
        <item x="762"/>
        <item x="1278"/>
        <item x="211"/>
        <item x="1931"/>
        <item x="570"/>
        <item x="1519"/>
        <item x="1384"/>
        <item x="90"/>
        <item x="1579"/>
        <item x="1925"/>
        <item x="1651"/>
        <item x="272"/>
        <item x="1642"/>
        <item x="1631"/>
        <item x="367"/>
        <item x="1234"/>
        <item x="991"/>
        <item x="1366"/>
        <item x="1621"/>
        <item x="426"/>
        <item x="196"/>
        <item x="256"/>
        <item x="1299"/>
        <item x="1944"/>
        <item x="1094"/>
        <item x="1937"/>
        <item x="589"/>
        <item x="1974"/>
        <item x="421"/>
        <item x="1200"/>
        <item x="368"/>
        <item x="870"/>
        <item x="1981"/>
        <item x="206"/>
        <item x="385"/>
        <item x="1935"/>
        <item x="1413"/>
        <item x="26"/>
        <item x="1153"/>
        <item x="475"/>
        <item x="207"/>
        <item x="102"/>
        <item x="1080"/>
        <item x="944"/>
        <item x="166"/>
        <item x="646"/>
        <item x="1571"/>
        <item x="1688"/>
        <item x="1055"/>
        <item x="861"/>
        <item x="1617"/>
        <item x="1755"/>
        <item x="363"/>
        <item x="832"/>
        <item x="1121"/>
        <item x="742"/>
        <item x="350"/>
        <item x="760"/>
        <item x="461"/>
        <item x="834"/>
        <item x="1834"/>
        <item x="1669"/>
        <item x="1787"/>
        <item x="353"/>
        <item x="621"/>
        <item x="458"/>
        <item x="1313"/>
        <item x="833"/>
        <item x="1115"/>
        <item x="88"/>
        <item x="1135"/>
        <item x="686"/>
        <item x="173"/>
        <item x="480"/>
        <item x="1670"/>
        <item x="500"/>
        <item x="1497"/>
        <item x="511"/>
        <item x="605"/>
        <item x="903"/>
        <item x="912"/>
        <item x="769"/>
        <item x="1881"/>
        <item x="1926"/>
        <item x="1044"/>
        <item x="766"/>
        <item x="860"/>
        <item x="768"/>
        <item x="1922"/>
        <item x="538"/>
        <item x="477"/>
        <item x="1335"/>
        <item x="1639"/>
        <item x="1957"/>
        <item x="877"/>
        <item x="1666"/>
        <item x="242"/>
        <item x="135"/>
        <item x="1544"/>
        <item x="1609"/>
        <item x="522"/>
        <item x="474"/>
        <item x="1172"/>
        <item x="1075"/>
        <item x="1627"/>
        <item x="928"/>
        <item x="405"/>
        <item x="442"/>
        <item x="1753"/>
        <item x="1155"/>
        <item x="1648"/>
        <item x="1872"/>
        <item x="764"/>
        <item x="1630"/>
        <item x="1829"/>
        <item x="238"/>
        <item x="633"/>
        <item x="97"/>
        <item x="1404"/>
        <item x="1561"/>
        <item x="855"/>
        <item x="23"/>
        <item x="1197"/>
        <item x="1100"/>
        <item x="1237"/>
        <item x="530"/>
        <item x="853"/>
        <item x="955"/>
        <item x="1092"/>
        <item x="232"/>
        <item x="1276"/>
        <item x="1096"/>
        <item x="960"/>
        <item x="1122"/>
        <item x="16"/>
        <item x="1462"/>
        <item x="181"/>
        <item x="482"/>
        <item x="1218"/>
        <item x="540"/>
        <item x="531"/>
        <item x="1041"/>
        <item x="1008"/>
        <item x="1514"/>
        <item x="1480"/>
        <item x="1233"/>
        <item x="375"/>
        <item x="1002"/>
        <item x="1151"/>
        <item x="734"/>
        <item x="510"/>
        <item x="264"/>
        <item x="1502"/>
        <item x="408"/>
        <item x="895"/>
        <item x="688"/>
        <item x="1038"/>
        <item x="1977"/>
        <item x="1324"/>
        <item x="508"/>
        <item x="726"/>
        <item x="851"/>
        <item x="1622"/>
        <item x="87"/>
        <item x="1671"/>
        <item x="1551"/>
        <item x="813"/>
        <item x="49"/>
        <item x="1911"/>
        <item x="648"/>
        <item x="659"/>
        <item x="962"/>
        <item x="490"/>
        <item x="1283"/>
        <item x="1419"/>
        <item x="1473"/>
        <item x="1927"/>
        <item x="1505"/>
        <item x="99"/>
        <item x="1647"/>
        <item x="1025"/>
        <item x="1078"/>
        <item x="399"/>
        <item x="1870"/>
        <item x="1019"/>
        <item x="1405"/>
        <item x="1588"/>
        <item x="1716"/>
        <item x="1423"/>
        <item x="650"/>
        <item x="1943"/>
        <item x="1437"/>
        <item x="614"/>
        <item x="244"/>
        <item x="1369"/>
        <item x="660"/>
        <item x="532"/>
        <item x="1847"/>
        <item x="327"/>
        <item x="1786"/>
        <item x="899"/>
        <item x="198"/>
        <item x="740"/>
        <item x="1526"/>
        <item x="882"/>
        <item x="700"/>
        <item x="1125"/>
        <item x="1910"/>
        <item x="1987"/>
        <item x="1581"/>
        <item x="1855"/>
        <item x="1387"/>
        <item x="1007"/>
        <item x="1907"/>
        <item x="176"/>
        <item x="1797"/>
        <item x="1103"/>
        <item x="1282"/>
        <item x="562"/>
        <item x="465"/>
        <item x="59"/>
        <item x="1187"/>
        <item x="865"/>
        <item x="1623"/>
        <item x="1128"/>
        <item x="521"/>
        <item x="1856"/>
        <item x="449"/>
        <item x="3"/>
        <item x="17"/>
        <item x="1149"/>
        <item x="1849"/>
        <item x="374"/>
        <item x="703"/>
        <item x="1129"/>
        <item x="188"/>
        <item x="1615"/>
        <item x="1775"/>
        <item x="127"/>
        <item x="53"/>
        <item x="684"/>
        <item x="55"/>
        <item x="1951"/>
        <item x="1265"/>
        <item x="988"/>
        <item x="569"/>
        <item x="1793"/>
        <item x="67"/>
        <item x="1841"/>
        <item x="557"/>
        <item x="93"/>
        <item x="1902"/>
        <item x="1398"/>
        <item x="1845"/>
        <item x="559"/>
        <item x="600"/>
        <item x="491"/>
        <item x="515"/>
        <item x="165"/>
        <item x="1448"/>
        <item x="839"/>
        <item x="1250"/>
        <item x="1239"/>
        <item x="1269"/>
        <item x="1004"/>
        <item x="869"/>
        <item x="970"/>
        <item x="1120"/>
        <item x="122"/>
        <item x="1042"/>
        <item x="567"/>
        <item x="1063"/>
        <item x="1113"/>
        <item x="1912"/>
        <item x="445"/>
        <item x="699"/>
        <item x="270"/>
        <item x="1297"/>
        <item x="1372"/>
        <item x="1662"/>
        <item x="403"/>
        <item x="1142"/>
        <item x="341"/>
        <item x="1098"/>
        <item x="1963"/>
        <item x="1482"/>
        <item x="893"/>
        <item x="1221"/>
        <item x="973"/>
        <item x="1203"/>
        <item x="754"/>
        <item x="781"/>
        <item x="948"/>
        <item x="1663"/>
        <item x="1017"/>
        <item x="414"/>
        <item x="320"/>
        <item x="346"/>
        <item x="759"/>
        <item x="801"/>
        <item x="389"/>
        <item x="427"/>
        <item x="676"/>
        <item x="1678"/>
        <item x="1882"/>
        <item x="18"/>
        <item x="1693"/>
        <item x="1641"/>
        <item x="312"/>
        <item x="939"/>
        <item x="907"/>
        <item x="1909"/>
        <item x="780"/>
        <item x="1362"/>
        <item x="128"/>
        <item x="695"/>
        <item x="1640"/>
        <item x="1917"/>
        <item x="1490"/>
        <item x="200"/>
        <item x="1533"/>
        <item x="192"/>
        <item x="1577"/>
        <item x="1752"/>
        <item x="443"/>
        <item x="823"/>
        <item x="583"/>
        <item x="904"/>
        <item x="788"/>
        <item x="351"/>
        <item x="1484"/>
        <item x="1108"/>
        <item x="435"/>
        <item x="670"/>
        <item x="1553"/>
        <item x="1769"/>
        <item x="107"/>
        <item x="1736"/>
        <item x="1268"/>
        <item x="1127"/>
        <item x="1952"/>
        <item x="1399"/>
        <item x="1196"/>
        <item x="1967"/>
        <item x="835"/>
        <item x="1471"/>
        <item x="120"/>
        <item x="98"/>
        <item x="1905"/>
        <item x="1082"/>
        <item x="1364"/>
        <item x="849"/>
        <item x="1375"/>
        <item x="1305"/>
        <item x="545"/>
        <item x="1600"/>
        <item x="810"/>
        <item x="1709"/>
        <item x="1991"/>
        <item x="1540"/>
        <item x="1174"/>
        <item x="1504"/>
        <item x="212"/>
        <item x="847"/>
        <item x="1262"/>
        <item x="1844"/>
        <item x="1853"/>
        <item x="1242"/>
        <item x="572"/>
        <item x="830"/>
        <item x="189"/>
        <item x="573"/>
        <item x="1718"/>
        <item x="1402"/>
        <item x="805"/>
        <item x="1307"/>
        <item x="123"/>
        <item x="790"/>
        <item x="537"/>
        <item x="1280"/>
        <item x="495"/>
        <item x="739"/>
        <item x="927"/>
        <item x="275"/>
        <item x="230"/>
        <item x="1795"/>
        <item x="1194"/>
        <item x="1913"/>
        <item x="1511"/>
        <item x="1191"/>
        <item x="41"/>
        <item x="1083"/>
        <item x="137"/>
        <item x="1858"/>
        <item x="11"/>
        <item x="159"/>
        <item x="1982"/>
        <item x="1232"/>
        <item x="1520"/>
        <item x="1433"/>
        <item x="309"/>
        <item x="1207"/>
        <item x="1343"/>
        <item x="1058"/>
        <item x="720"/>
        <item x="1099"/>
        <item x="697"/>
        <item x="1554"/>
        <item x="625"/>
        <item x="378"/>
        <item x="506"/>
        <item x="568"/>
        <item x="995"/>
        <item x="183"/>
        <item x="72"/>
        <item x="1361"/>
        <item x="1431"/>
        <item x="392"/>
        <item x="1727"/>
        <item x="142"/>
        <item x="623"/>
        <item x="57"/>
        <item x="1542"/>
        <item x="983"/>
        <item x="1815"/>
        <item x="1777"/>
        <item x="1896"/>
        <item x="1817"/>
        <item x="1661"/>
        <item x="1071"/>
        <item x="883"/>
        <item x="1929"/>
        <item x="1036"/>
        <item x="751"/>
        <item x="366"/>
        <item x="1298"/>
        <item x="1377"/>
        <item x="564"/>
        <item x="638"/>
        <item x="114"/>
        <item x="81"/>
        <item x="685"/>
        <item x="1994"/>
        <item x="576"/>
        <item x="802"/>
        <item x="1653"/>
        <item x="322"/>
        <item x="1065"/>
        <item x="1370"/>
        <item x="1112"/>
        <item x="1563"/>
        <item x="1417"/>
        <item x="453"/>
        <item x="1759"/>
        <item x="234"/>
        <item x="106"/>
        <item x="75"/>
        <item x="1226"/>
        <item x="1479"/>
        <item x="336"/>
        <item x="504"/>
        <item x="1948"/>
        <item x="594"/>
        <item x="1300"/>
        <item x="429"/>
        <item x="331"/>
        <item x="554"/>
        <item x="694"/>
        <item x="798"/>
        <item x="619"/>
        <item x="1899"/>
        <item x="850"/>
        <item x="446"/>
        <item x="45"/>
        <item x="1959"/>
        <item x="1219"/>
        <item x="7"/>
        <item x="1750"/>
        <item x="1822"/>
        <item x="929"/>
        <item x="254"/>
        <item x="1883"/>
        <item x="1550"/>
        <item x="1052"/>
        <item x="170"/>
        <item x="949"/>
        <item x="1936"/>
        <item x="1281"/>
        <item x="1792"/>
        <item x="1150"/>
        <item x="1496"/>
        <item x="1562"/>
        <item x="941"/>
        <item x="342"/>
        <item x="157"/>
        <item x="1524"/>
        <item x="184"/>
        <item x="989"/>
        <item x="752"/>
        <item x="725"/>
        <item x="1874"/>
        <item x="876"/>
        <item x="323"/>
        <item x="1914"/>
        <item x="39"/>
        <item x="536"/>
        <item x="1976"/>
        <item x="553"/>
        <item x="425"/>
        <item x="543"/>
        <item x="1491"/>
        <item x="890"/>
        <item x="1722"/>
        <item x="484"/>
        <item x="1941"/>
        <item x="1139"/>
        <item x="1955"/>
        <item x="1789"/>
        <item x="1695"/>
        <item x="1266"/>
        <item x="306"/>
        <item x="1940"/>
        <item x="878"/>
        <item x="800"/>
        <item x="1715"/>
        <item x="1521"/>
        <item x="1411"/>
        <item x="1760"/>
        <item x="1636"/>
        <item x="1344"/>
        <item x="710"/>
        <item x="812"/>
        <item x="14"/>
        <item x="787"/>
        <item x="203"/>
        <item x="1288"/>
        <item x="1863"/>
        <item x="187"/>
        <item x="1188"/>
        <item x="831"/>
        <item x="1119"/>
        <item x="516"/>
        <item x="32"/>
        <item x="1604"/>
        <item x="1137"/>
        <item x="689"/>
        <item x="1400"/>
        <item x="1422"/>
        <item x="1355"/>
        <item x="617"/>
        <item x="1056"/>
        <item x="329"/>
        <item x="199"/>
        <item x="1170"/>
        <item x="418"/>
        <item x="1379"/>
        <item x="1583"/>
        <item x="1040"/>
        <item x="884"/>
        <item x="1762"/>
        <item x="454"/>
        <item x="1920"/>
        <item x="887"/>
        <item x="829"/>
        <item x="1169"/>
        <item x="1222"/>
        <item x="1057"/>
        <item x="680"/>
        <item x="381"/>
        <item x="259"/>
        <item x="1208"/>
        <item x="147"/>
        <item x="940"/>
        <item x="649"/>
        <item x="217"/>
        <item x="864"/>
        <item x="1576"/>
        <item x="411"/>
        <item x="339"/>
        <item x="947"/>
        <item x="1628"/>
        <item x="1765"/>
        <item x="456"/>
        <item x="1820"/>
        <item x="636"/>
        <item x="653"/>
        <item x="273"/>
        <item x="227"/>
        <item x="172"/>
        <item x="1177"/>
        <item x="33"/>
        <item x="1534"/>
        <item x="469"/>
        <item x="1088"/>
        <item x="1255"/>
        <item x="776"/>
        <item x="1031"/>
        <item x="1800"/>
        <item x="96"/>
        <item x="1109"/>
        <item x="117"/>
        <item x="867"/>
        <item x="169"/>
        <item x="70"/>
        <item x="1560"/>
        <item x="786"/>
        <item x="118"/>
        <item x="407"/>
        <item x="775"/>
        <item x="1420"/>
        <item x="8"/>
        <item x="1595"/>
        <item x="1081"/>
        <item x="1652"/>
        <item x="811"/>
        <item x="964"/>
        <item x="1535"/>
        <item x="846"/>
        <item x="1971"/>
        <item x="1070"/>
        <item x="550"/>
        <item x="1079"/>
        <item x="1814"/>
        <item x="1061"/>
        <item x="1406"/>
        <item x="1215"/>
        <item x="1746"/>
        <item x="691"/>
        <item x="140"/>
        <item x="856"/>
        <item x="1781"/>
        <item x="566"/>
        <item x="1295"/>
        <item x="992"/>
        <item x="300"/>
        <item x="1426"/>
        <item x="479"/>
        <item x="1825"/>
        <item x="1244"/>
        <item x="854"/>
        <item x="1516"/>
        <item x="1843"/>
        <item x="416"/>
        <item x="1023"/>
        <item x="182"/>
        <item x="1930"/>
        <item x="65"/>
        <item x="1565"/>
        <item x="1721"/>
        <item x="241"/>
        <item x="994"/>
        <item x="125"/>
        <item x="758"/>
        <item x="1892"/>
        <item x="359"/>
        <item x="1774"/>
        <item x="431"/>
        <item x="1351"/>
        <item x="1964"/>
        <item x="815"/>
        <item x="746"/>
        <item x="1016"/>
        <item x="396"/>
        <item x="1659"/>
        <item x="343"/>
        <item x="413"/>
        <item x="997"/>
        <item x="252"/>
        <item x="267"/>
        <item x="563"/>
        <item x="370"/>
        <item x="806"/>
        <item x="6"/>
        <item x="1597"/>
        <item x="246"/>
        <item x="1783"/>
        <item x="9"/>
        <item x="613"/>
        <item x="1507"/>
        <item x="1796"/>
        <item x="1728"/>
        <item x="1616"/>
        <item x="132"/>
        <item x="596"/>
        <item x="1159"/>
        <item x="1463"/>
        <item x="1633"/>
        <item x="330"/>
        <item x="1900"/>
        <item x="489"/>
        <item x="1317"/>
        <item x="1241"/>
        <item x="406"/>
        <item x="240"/>
        <item x="1704"/>
        <item x="1650"/>
        <item x="1213"/>
        <item x="1087"/>
        <item x="1217"/>
        <item x="1275"/>
        <item x="294"/>
        <item x="452"/>
        <item x="858"/>
        <item x="1318"/>
        <item x="748"/>
        <item x="909"/>
        <item x="599"/>
        <item x="981"/>
        <item x="770"/>
        <item x="1667"/>
        <item x="299"/>
        <item x="571"/>
        <item x="1090"/>
        <item x="111"/>
        <item x="1383"/>
        <item x="444"/>
        <item x="714"/>
        <item x="1450"/>
        <item x="677"/>
        <item x="488"/>
        <item x="1594"/>
        <item x="679"/>
        <item x="463"/>
        <item x="1162"/>
        <item x="1157"/>
        <item x="1558"/>
        <item x="36"/>
        <item x="1051"/>
        <item x="1248"/>
        <item x="1747"/>
        <item x="733"/>
        <item x="245"/>
        <item x="1608"/>
        <item x="1440"/>
        <item x="486"/>
        <item x="409"/>
        <item x="146"/>
        <item x="1285"/>
        <item x="1107"/>
        <item x="1116"/>
        <item x="1906"/>
        <item x="139"/>
        <item x="325"/>
        <item x="349"/>
        <item x="221"/>
        <item x="1331"/>
        <item x="1441"/>
        <item x="1341"/>
        <item x="574"/>
        <item x="565"/>
        <item x="627"/>
        <item x="1573"/>
        <item x="434"/>
        <item x="606"/>
        <item x="1457"/>
        <item x="1629"/>
        <item x="978"/>
        <item x="305"/>
        <item x="582"/>
        <item x="1312"/>
        <item x="260"/>
        <item x="1175"/>
        <item x="1334"/>
        <item x="951"/>
        <item x="455"/>
        <item x="1875"/>
        <item x="1032"/>
        <item x="208"/>
        <item x="150"/>
        <item x="352"/>
        <item x="1714"/>
        <item x="220"/>
        <item x="287"/>
        <item x="1634"/>
        <item x="1839"/>
        <item x="285"/>
        <item x="1916"/>
        <item x="1306"/>
        <item x="827"/>
        <item x="1975"/>
        <item x="1378"/>
        <item x="77"/>
        <item x="1074"/>
        <item x="269"/>
        <item x="228"/>
        <item x="233"/>
        <item x="1607"/>
        <item x="1436"/>
        <item x="558"/>
        <item x="1949"/>
        <item x="1495"/>
        <item x="29"/>
        <item x="296"/>
        <item x="1466"/>
        <item x="1291"/>
        <item x="42"/>
        <item x="1246"/>
        <item x="1261"/>
        <item x="1049"/>
        <item x="1657"/>
        <item x="652"/>
        <item x="654"/>
        <item x="551"/>
        <item x="1292"/>
        <item x="1891"/>
        <item x="874"/>
        <item x="317"/>
        <item x="555"/>
        <item x="1684"/>
        <item x="843"/>
        <item x="696"/>
        <item x="852"/>
        <item x="1857"/>
        <item x="896"/>
        <item x="251"/>
        <item x="1973"/>
        <item x="618"/>
        <item x="1763"/>
        <item x="56"/>
        <item x="279"/>
        <item x="1205"/>
        <item x="1144"/>
        <item x="956"/>
        <item x="717"/>
        <item x="1809"/>
        <item x="1580"/>
        <item x="471"/>
        <item x="1513"/>
        <item x="95"/>
        <item x="1451"/>
        <item x="965"/>
        <item x="148"/>
        <item x="1529"/>
        <item x="347"/>
        <item x="628"/>
        <item x="54"/>
        <item x="1772"/>
        <item x="428"/>
        <item x="1339"/>
        <item x="103"/>
        <item x="803"/>
        <item x="901"/>
        <item x="1738"/>
        <item x="1525"/>
        <item x="1696"/>
        <item x="164"/>
        <item x="692"/>
        <item x="1852"/>
        <item x="1729"/>
        <item x="303"/>
        <item x="40"/>
        <item x="1309"/>
        <item x="1195"/>
        <item x="1073"/>
        <item x="1737"/>
        <item x="225"/>
        <item x="1499"/>
        <item x="1517"/>
        <item x="1154"/>
        <item x="578"/>
        <item x="1810"/>
        <item x="101"/>
        <item x="1015"/>
        <item x="1181"/>
        <item x="450"/>
        <item x="918"/>
        <item x="683"/>
        <item x="820"/>
        <item x="782"/>
        <item x="1950"/>
        <item x="1673"/>
        <item x="1178"/>
        <item x="715"/>
        <item x="1836"/>
        <item x="1438"/>
        <item x="1294"/>
        <item x="707"/>
        <item x="946"/>
        <item x="197"/>
        <item x="1919"/>
        <item x="681"/>
        <item x="1835"/>
        <item x="1143"/>
        <item x="1654"/>
        <item x="94"/>
        <item x="108"/>
        <item x="1412"/>
        <item x="1403"/>
        <item x="841"/>
        <item x="1619"/>
        <item x="1059"/>
        <item x="980"/>
        <item x="1823"/>
        <item x="682"/>
        <item x="1683"/>
        <item x="69"/>
        <item x="1934"/>
        <item x="1267"/>
        <item x="797"/>
        <item x="524"/>
        <item x="1838"/>
        <item x="990"/>
        <item x="451"/>
        <item x="669"/>
        <item x="885"/>
        <item x="976"/>
        <item x="476"/>
        <item x="1918"/>
        <item x="1802"/>
        <item x="1472"/>
        <item x="1333"/>
        <item x="274"/>
        <item x="162"/>
        <item x="1072"/>
        <item x="1735"/>
        <item x="656"/>
        <item x="1227"/>
        <item x="1658"/>
        <item x="1754"/>
        <item x="911"/>
        <item x="143"/>
        <item x="930"/>
        <item x="1228"/>
        <item x="1989"/>
        <item x="401"/>
        <item x="1204"/>
        <item x="1570"/>
        <item x="1589"/>
        <item x="1697"/>
        <item x="783"/>
        <item x="1803"/>
        <item x="655"/>
        <item x="1311"/>
        <item x="1189"/>
        <item x="1455"/>
        <item x="19"/>
        <item x="185"/>
        <item x="1084"/>
        <item x="1342"/>
        <item x="386"/>
        <item x="588"/>
        <item x="376"/>
        <item x="1110"/>
        <item x="828"/>
        <item x="971"/>
        <item x="1586"/>
        <item x="1682"/>
        <item x="998"/>
        <item x="391"/>
        <item x="713"/>
        <item x="1744"/>
        <item x="1395"/>
        <item x="967"/>
        <item x="517"/>
        <item x="1780"/>
        <item x="1773"/>
        <item x="1033"/>
        <item x="1425"/>
        <item x="224"/>
        <item x="1539"/>
        <item x="552"/>
        <item x="223"/>
        <item x="1199"/>
        <item x="1394"/>
        <item x="4"/>
        <item x="153"/>
        <item x="1198"/>
        <item x="1467"/>
        <item x="1453"/>
        <item x="1320"/>
        <item x="43"/>
        <item x="945"/>
        <item x="1337"/>
        <item x="1029"/>
        <item x="931"/>
        <item x="1776"/>
        <item x="1515"/>
        <item x="292"/>
        <item x="1954"/>
        <item x="1503"/>
        <item x="1705"/>
        <item x="1699"/>
        <item x="1871"/>
        <item x="1089"/>
        <item x="1532"/>
        <item x="1201"/>
        <item x="763"/>
        <item x="959"/>
        <item x="1321"/>
        <item x="1456"/>
        <item x="201"/>
        <item x="848"/>
        <item x="836"/>
        <item x="1003"/>
        <item x="1287"/>
        <item x="1216"/>
        <item x="975"/>
        <item x="773"/>
        <item x="1611"/>
        <item x="84"/>
        <item x="745"/>
        <item x="298"/>
        <item x="1888"/>
        <item x="1827"/>
        <item x="974"/>
        <item x="950"/>
        <item x="1062"/>
        <item x="1293"/>
        <item x="1443"/>
        <item x="501"/>
        <item x="1430"/>
        <item x="1418"/>
        <item x="1039"/>
        <item x="1703"/>
        <item x="1493"/>
        <item x="603"/>
        <item x="1284"/>
        <item x="1254"/>
        <item x="549"/>
        <item x="355"/>
        <item x="1541"/>
        <item x="109"/>
        <item x="1449"/>
        <item x="27"/>
        <item x="1748"/>
        <item x="1367"/>
        <item x="1230"/>
        <item x="377"/>
        <item x="104"/>
        <item x="301"/>
        <item x="1767"/>
        <item x="961"/>
        <item x="1903"/>
        <item x="595"/>
        <item x="771"/>
        <item x="1681"/>
        <item x="321"/>
        <item x="1895"/>
        <item x="177"/>
        <item x="979"/>
        <item x="663"/>
        <item x="1223"/>
        <item x="658"/>
        <item x="364"/>
        <item x="999"/>
        <item x="1348"/>
        <item x="1488"/>
        <item x="1176"/>
        <item x="1585"/>
        <item x="1424"/>
        <item x="1148"/>
        <item x="518"/>
        <item x="1389"/>
        <item x="226"/>
        <item x="1105"/>
        <item x="1932"/>
        <item x="1824"/>
        <item x="934"/>
        <item x="1808"/>
        <item x="136"/>
        <item x="34"/>
        <item x="447"/>
        <item x="767"/>
        <item x="1990"/>
        <item x="1591"/>
        <item x="74"/>
        <item x="302"/>
        <item x="237"/>
        <item x="661"/>
        <item x="20"/>
        <item x="560"/>
        <item x="1397"/>
        <item x="837"/>
        <item x="1132"/>
        <item x="785"/>
        <item x="1141"/>
        <item x="284"/>
        <item x="257"/>
        <item x="283"/>
        <item x="1301"/>
        <item x="191"/>
        <item x="1698"/>
        <item x="466"/>
        <item x="356"/>
        <item x="587"/>
        <item x="1260"/>
        <item x="218"/>
        <item x="535"/>
        <item x="1848"/>
        <item x="440"/>
        <item x="1192"/>
        <item x="1410"/>
        <item x="1866"/>
        <item x="880"/>
        <item x="610"/>
        <item x="457"/>
        <item x="620"/>
        <item x="1733"/>
        <item x="1612"/>
        <item x="859"/>
        <item x="1118"/>
        <item x="398"/>
        <item x="1146"/>
        <item x="736"/>
        <item x="1067"/>
        <item x="604"/>
        <item x="1645"/>
        <item x="1602"/>
        <item x="1340"/>
        <item x="215"/>
        <item x="1702"/>
        <item x="1887"/>
        <item x="643"/>
        <item x="958"/>
        <item x="247"/>
        <item x="1068"/>
        <item x="1603"/>
        <item x="1253"/>
        <item x="791"/>
        <item x="340"/>
        <item x="977"/>
        <item x="1813"/>
        <item x="348"/>
        <item x="1983"/>
        <item x="1842"/>
        <item x="1574"/>
        <item x="1799"/>
        <item x="814"/>
        <item x="357"/>
        <item x="263"/>
        <item x="163"/>
        <item x="668"/>
        <item x="1885"/>
        <item x="1273"/>
        <item x="702"/>
        <item x="1359"/>
        <item x="105"/>
        <item x="1924"/>
        <item x="993"/>
        <item x="639"/>
        <item x="586"/>
        <item x="383"/>
        <item x="1993"/>
        <item x="1851"/>
        <item x="1183"/>
        <item x="1054"/>
        <item x="113"/>
        <item x="1749"/>
        <item x="261"/>
        <item x="987"/>
        <item x="1743"/>
        <item x="229"/>
        <item x="937"/>
        <item x="547"/>
        <item x="1567"/>
        <item x="1679"/>
        <item x="1846"/>
        <item x="1326"/>
        <item x="1794"/>
        <item x="1530"/>
        <item x="1469"/>
        <item x="1066"/>
        <item x="923"/>
        <item x="133"/>
        <item x="1549"/>
        <item x="1106"/>
        <item x="1272"/>
        <item x="1725"/>
        <item x="533"/>
        <item x="935"/>
        <item x="1352"/>
        <item x="706"/>
        <item x="862"/>
        <item x="333"/>
        <item x="1938"/>
        <item x="561"/>
        <item x="15"/>
        <item x="612"/>
        <item x="1904"/>
        <item x="857"/>
        <item x="222"/>
        <item x="1126"/>
        <item x="432"/>
        <item x="1316"/>
        <item x="58"/>
        <item x="12"/>
        <item x="175"/>
        <item x="436"/>
        <item x="1257"/>
        <item x="1264"/>
        <item x="749"/>
        <item x="757"/>
        <item x="1368"/>
        <item x="845"/>
        <item x="529"/>
        <item x="1358"/>
        <item x="528"/>
        <item x="601"/>
        <item x="968"/>
        <item x="266"/>
        <item x="193"/>
        <item x="373"/>
        <item x="1635"/>
        <item x="1865"/>
        <item x="609"/>
        <item x="66"/>
        <item x="1686"/>
        <item x="393"/>
        <item x="1566"/>
        <item x="741"/>
        <item x="637"/>
        <item x="276"/>
        <item x="1102"/>
        <item x="1995"/>
        <item x="308"/>
        <item x="1723"/>
        <item x="297"/>
        <item x="1979"/>
        <item x="433"/>
        <item x="705"/>
        <item x="337"/>
        <item x="1476"/>
        <item x="807"/>
        <item x="1568"/>
        <item x="2"/>
        <item x="933"/>
        <item x="1445"/>
        <item x="514"/>
        <item x="1329"/>
        <item x="124"/>
        <item x="38"/>
        <item x="1314"/>
        <item x="527"/>
        <item x="872"/>
        <item x="85"/>
        <item x="1946"/>
        <item x="394"/>
        <item x="1656"/>
        <item x="1720"/>
        <item x="332"/>
        <item x="1528"/>
        <item x="1452"/>
        <item x="1114"/>
        <item x="728"/>
        <item x="1864"/>
        <item x="1048"/>
        <item x="1893"/>
        <item x="608"/>
        <item x="1338"/>
        <item x="384"/>
        <item x="22"/>
        <item x="415"/>
        <item x="1270"/>
        <item x="473"/>
        <item x="1010"/>
        <item x="1860"/>
        <item x="171"/>
        <item x="313"/>
        <item x="730"/>
        <item x="1026"/>
        <item x="1374"/>
        <item x="179"/>
        <item x="1862"/>
        <item x="1756"/>
        <item x="1711"/>
        <item x="25"/>
        <item x="1953"/>
        <item x="1509"/>
        <item x="1821"/>
        <item x="1202"/>
        <item x="448"/>
        <item x="584"/>
        <item x="1193"/>
        <item x="1481"/>
        <item x="1665"/>
        <item x="400"/>
        <item x="100"/>
        <item x="1346"/>
        <item x="821"/>
        <item x="593"/>
        <item x="1000"/>
        <item x="721"/>
        <item x="1830"/>
        <item x="1336"/>
        <item x="464"/>
        <item x="152"/>
        <item x="1668"/>
        <item x="485"/>
        <item x="1638"/>
        <item x="424"/>
        <item x="982"/>
        <item x="908"/>
        <item x="711"/>
        <item x="248"/>
        <item x="258"/>
        <item x="520"/>
        <item x="672"/>
        <item x="1046"/>
        <item x="922"/>
        <item x="1209"/>
        <item x="387"/>
        <item x="1147"/>
        <item x="1439"/>
        <item x="1732"/>
        <item x="112"/>
        <item x="1960"/>
        <item x="382"/>
        <item x="590"/>
        <item x="1474"/>
        <item x="129"/>
        <item x="1415"/>
        <item x="1536"/>
        <item x="1878"/>
        <item x="1552"/>
        <item x="592"/>
        <item x="423"/>
        <item x="1171"/>
        <item x="1689"/>
        <item x="624"/>
        <item x="1771"/>
        <item x="205"/>
        <item x="64"/>
        <item x="1245"/>
        <item x="1236"/>
        <item x="1454"/>
        <item x="577"/>
        <item x="942"/>
        <item x="651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Total_Amount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opLeftCell="A10" workbookViewId="0">
      <selection activeCell="E42" sqref="E42"/>
    </sheetView>
  </sheetViews>
  <sheetFormatPr defaultRowHeight="1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J7" sqref="J7"/>
    </sheetView>
  </sheetViews>
  <sheetFormatPr defaultRowHeight="15"/>
  <cols>
    <col min="1" max="1" width="21.85546875" customWidth="1"/>
    <col min="2" max="2" width="36.42578125" customWidth="1"/>
    <col min="3" max="3" width="16.85546875" customWidth="1"/>
    <col min="4" max="4" width="22" customWidth="1"/>
    <col min="5" max="5" width="25.28515625" customWidth="1"/>
    <col min="6" max="6" width="13.5703125" style="5" customWidth="1"/>
    <col min="7" max="7" width="11.140625" customWidth="1"/>
    <col min="8" max="8" width="13.7109375" customWidth="1"/>
    <col min="9" max="9" width="12.140625" customWidth="1"/>
  </cols>
  <sheetData>
    <row r="1" spans="1:9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4" t="s">
        <v>1541</v>
      </c>
      <c r="G1" s="1" t="s">
        <v>1542</v>
      </c>
      <c r="H1" s="3" t="s">
        <v>3967</v>
      </c>
      <c r="I1" s="3" t="s">
        <v>3968</v>
      </c>
    </row>
    <row r="2" spans="1:9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 s="5">
        <v>112.42</v>
      </c>
      <c r="G2">
        <v>416</v>
      </c>
      <c r="H2">
        <f>F2*G2</f>
        <v>46766.720000000001</v>
      </c>
      <c r="I2" t="str">
        <f>RIGHT(A2,2)</f>
        <v>D0</v>
      </c>
    </row>
    <row r="3" spans="1:9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 s="5">
        <v>342.56</v>
      </c>
      <c r="G3">
        <v>181</v>
      </c>
      <c r="H3">
        <f t="shared" ref="H3:H66" si="0">F3*G3</f>
        <v>62003.360000000001</v>
      </c>
      <c r="I3" t="str">
        <f t="shared" ref="I3:I66" si="1">RIGHT(A3,2)</f>
        <v>D1</v>
      </c>
    </row>
    <row r="4" spans="1:9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  <c r="H4">
        <f t="shared" si="0"/>
        <v>0</v>
      </c>
      <c r="I4" t="str">
        <f t="shared" si="1"/>
        <v>D2</v>
      </c>
    </row>
    <row r="5" spans="1:9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 s="5">
        <v>364.67</v>
      </c>
      <c r="G5">
        <v>452</v>
      </c>
      <c r="H5">
        <f t="shared" si="0"/>
        <v>164830.84</v>
      </c>
      <c r="I5" t="str">
        <f t="shared" si="1"/>
        <v>-3</v>
      </c>
    </row>
    <row r="6" spans="1:9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 s="5">
        <v>306.45999999999998</v>
      </c>
      <c r="G6">
        <v>487</v>
      </c>
      <c r="H6">
        <f t="shared" si="0"/>
        <v>149246.01999999999</v>
      </c>
      <c r="I6" t="str">
        <f t="shared" si="1"/>
        <v>D4</v>
      </c>
    </row>
    <row r="7" spans="1:9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 s="5">
        <v>261</v>
      </c>
      <c r="G7">
        <v>59</v>
      </c>
      <c r="H7">
        <f t="shared" si="0"/>
        <v>15399</v>
      </c>
      <c r="I7" t="str">
        <f t="shared" si="1"/>
        <v>D5</v>
      </c>
    </row>
    <row r="8" spans="1:9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 s="5">
        <v>312.8</v>
      </c>
      <c r="G8">
        <v>350</v>
      </c>
      <c r="H8">
        <f t="shared" si="0"/>
        <v>109480</v>
      </c>
      <c r="I8" t="str">
        <f t="shared" si="1"/>
        <v>D6</v>
      </c>
    </row>
    <row r="9" spans="1:9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 s="5">
        <v>218.86</v>
      </c>
      <c r="G9">
        <v>170</v>
      </c>
      <c r="H9">
        <f t="shared" si="0"/>
        <v>37206.200000000004</v>
      </c>
      <c r="I9" t="str">
        <f t="shared" si="1"/>
        <v>D7</v>
      </c>
    </row>
    <row r="10" spans="1:9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 s="5">
        <v>439.07</v>
      </c>
      <c r="G10">
        <v>142</v>
      </c>
      <c r="H10">
        <f t="shared" si="0"/>
        <v>62347.94</v>
      </c>
      <c r="I10" t="str">
        <f t="shared" si="1"/>
        <v>D8</v>
      </c>
    </row>
    <row r="11" spans="1:9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 s="5">
        <v>495.72</v>
      </c>
      <c r="G11">
        <v>323</v>
      </c>
      <c r="H11">
        <f t="shared" si="0"/>
        <v>160117.56</v>
      </c>
      <c r="I11" t="str">
        <f t="shared" si="1"/>
        <v>D9</v>
      </c>
    </row>
    <row r="12" spans="1:9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 s="5">
        <v>298.86</v>
      </c>
      <c r="G12">
        <v>308</v>
      </c>
      <c r="H12">
        <f t="shared" si="0"/>
        <v>92048.88</v>
      </c>
      <c r="I12" t="str">
        <f t="shared" si="1"/>
        <v>10</v>
      </c>
    </row>
    <row r="13" spans="1:9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 s="5">
        <v>449.4</v>
      </c>
      <c r="H13">
        <f t="shared" si="0"/>
        <v>0</v>
      </c>
      <c r="I13" t="str">
        <f t="shared" si="1"/>
        <v>11</v>
      </c>
    </row>
    <row r="14" spans="1:9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 s="5">
        <v>115.82</v>
      </c>
      <c r="G14">
        <v>460</v>
      </c>
      <c r="H14">
        <f t="shared" si="0"/>
        <v>53277.2</v>
      </c>
      <c r="I14" t="str">
        <f t="shared" si="1"/>
        <v>12</v>
      </c>
    </row>
    <row r="15" spans="1:9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 s="5">
        <v>242.23</v>
      </c>
      <c r="G15">
        <v>453</v>
      </c>
      <c r="H15">
        <f t="shared" si="0"/>
        <v>109730.19</v>
      </c>
      <c r="I15" t="str">
        <f t="shared" si="1"/>
        <v>13</v>
      </c>
    </row>
    <row r="16" spans="1:9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 s="5">
        <v>48.01</v>
      </c>
      <c r="G16">
        <v>439</v>
      </c>
      <c r="H16">
        <f t="shared" si="0"/>
        <v>21076.39</v>
      </c>
      <c r="I16" t="str">
        <f t="shared" si="1"/>
        <v>14</v>
      </c>
    </row>
    <row r="17" spans="1:9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 s="5">
        <v>465.34</v>
      </c>
      <c r="G17">
        <v>301</v>
      </c>
      <c r="H17">
        <f t="shared" si="0"/>
        <v>140067.34</v>
      </c>
      <c r="I17" t="str">
        <f t="shared" si="1"/>
        <v>15</v>
      </c>
    </row>
    <row r="18" spans="1:9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 s="5">
        <v>337.42</v>
      </c>
      <c r="G18">
        <v>256</v>
      </c>
      <c r="H18">
        <f t="shared" si="0"/>
        <v>86379.520000000004</v>
      </c>
      <c r="I18" t="str">
        <f t="shared" si="1"/>
        <v>16</v>
      </c>
    </row>
    <row r="19" spans="1:9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 s="5">
        <v>144.53</v>
      </c>
      <c r="G19">
        <v>367</v>
      </c>
      <c r="H19">
        <f t="shared" si="0"/>
        <v>53042.51</v>
      </c>
      <c r="I19" t="str">
        <f t="shared" si="1"/>
        <v>17</v>
      </c>
    </row>
    <row r="20" spans="1:9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  <c r="H20">
        <f t="shared" si="0"/>
        <v>0</v>
      </c>
      <c r="I20" t="str">
        <f t="shared" si="1"/>
        <v>18</v>
      </c>
    </row>
    <row r="21" spans="1:9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 s="5">
        <v>21.34</v>
      </c>
      <c r="G21">
        <v>65</v>
      </c>
      <c r="H21">
        <f t="shared" si="0"/>
        <v>1387.1</v>
      </c>
      <c r="I21" t="str">
        <f t="shared" si="1"/>
        <v>19</v>
      </c>
    </row>
    <row r="22" spans="1:9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 s="5">
        <v>131.51</v>
      </c>
      <c r="H22">
        <f t="shared" si="0"/>
        <v>0</v>
      </c>
      <c r="I22" t="str">
        <f t="shared" si="1"/>
        <v>20</v>
      </c>
    </row>
    <row r="23" spans="1:9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 s="5">
        <v>123.46</v>
      </c>
      <c r="G23">
        <v>76</v>
      </c>
      <c r="H23">
        <f t="shared" si="0"/>
        <v>9382.9599999999991</v>
      </c>
      <c r="I23" t="str">
        <f t="shared" si="1"/>
        <v>21</v>
      </c>
    </row>
    <row r="24" spans="1:9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 s="5">
        <v>484.62</v>
      </c>
      <c r="G24">
        <v>432</v>
      </c>
      <c r="H24">
        <f t="shared" si="0"/>
        <v>209355.84</v>
      </c>
      <c r="I24" t="str">
        <f t="shared" si="1"/>
        <v>22</v>
      </c>
    </row>
    <row r="25" spans="1:9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  <c r="H25">
        <f t="shared" si="0"/>
        <v>0</v>
      </c>
      <c r="I25" t="str">
        <f t="shared" si="1"/>
        <v>23</v>
      </c>
    </row>
    <row r="26" spans="1:9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 s="5">
        <v>166.06</v>
      </c>
      <c r="G26">
        <v>340</v>
      </c>
      <c r="H26">
        <f t="shared" si="0"/>
        <v>56460.4</v>
      </c>
      <c r="I26" t="str">
        <f t="shared" si="1"/>
        <v>24</v>
      </c>
    </row>
    <row r="27" spans="1:9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 s="5">
        <v>174.02</v>
      </c>
      <c r="G27">
        <v>268</v>
      </c>
      <c r="H27">
        <f t="shared" si="0"/>
        <v>46637.36</v>
      </c>
      <c r="I27" t="str">
        <f t="shared" si="1"/>
        <v>25</v>
      </c>
    </row>
    <row r="28" spans="1:9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 s="5">
        <v>322.41000000000003</v>
      </c>
      <c r="G28">
        <v>213</v>
      </c>
      <c r="H28">
        <f t="shared" si="0"/>
        <v>68673.33</v>
      </c>
      <c r="I28" t="str">
        <f t="shared" si="1"/>
        <v>26</v>
      </c>
    </row>
    <row r="29" spans="1:9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  <c r="H29">
        <f t="shared" si="0"/>
        <v>0</v>
      </c>
      <c r="I29" t="str">
        <f t="shared" si="1"/>
        <v>27</v>
      </c>
    </row>
    <row r="30" spans="1:9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 s="5">
        <v>38.76</v>
      </c>
      <c r="G30">
        <v>137</v>
      </c>
      <c r="H30">
        <f t="shared" si="0"/>
        <v>5310.12</v>
      </c>
      <c r="I30" t="str">
        <f t="shared" si="1"/>
        <v>28</v>
      </c>
    </row>
    <row r="31" spans="1:9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 s="5">
        <v>218.48</v>
      </c>
      <c r="G31">
        <v>276</v>
      </c>
      <c r="H31">
        <f t="shared" si="0"/>
        <v>60300.479999999996</v>
      </c>
      <c r="I31" t="str">
        <f t="shared" si="1"/>
        <v>29</v>
      </c>
    </row>
    <row r="32" spans="1:9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 s="5">
        <v>19.52</v>
      </c>
      <c r="G32">
        <v>57</v>
      </c>
      <c r="H32">
        <f t="shared" si="0"/>
        <v>1112.6399999999999</v>
      </c>
      <c r="I32" t="str">
        <f t="shared" si="1"/>
        <v>30</v>
      </c>
    </row>
    <row r="33" spans="1:9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 s="5">
        <v>204.39</v>
      </c>
      <c r="G33">
        <v>281</v>
      </c>
      <c r="H33">
        <f t="shared" si="0"/>
        <v>57433.59</v>
      </c>
      <c r="I33" t="str">
        <f t="shared" si="1"/>
        <v>31</v>
      </c>
    </row>
    <row r="34" spans="1:9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 s="5">
        <v>283.83</v>
      </c>
      <c r="G34">
        <v>244</v>
      </c>
      <c r="H34">
        <f t="shared" si="0"/>
        <v>69254.51999999999</v>
      </c>
      <c r="I34" t="str">
        <f t="shared" si="1"/>
        <v>32</v>
      </c>
    </row>
    <row r="35" spans="1:9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 s="5">
        <v>179.77</v>
      </c>
      <c r="G35">
        <v>305</v>
      </c>
      <c r="H35">
        <f t="shared" si="0"/>
        <v>54829.850000000006</v>
      </c>
      <c r="I35" t="str">
        <f t="shared" si="1"/>
        <v>33</v>
      </c>
    </row>
    <row r="36" spans="1:9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 s="5">
        <v>419.28</v>
      </c>
      <c r="G36">
        <v>86</v>
      </c>
      <c r="H36">
        <f t="shared" si="0"/>
        <v>36058.079999999994</v>
      </c>
      <c r="I36" t="str">
        <f t="shared" si="1"/>
        <v>34</v>
      </c>
    </row>
    <row r="37" spans="1:9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 s="5">
        <v>382.22</v>
      </c>
      <c r="G37">
        <v>329</v>
      </c>
      <c r="H37">
        <f t="shared" si="0"/>
        <v>125750.38</v>
      </c>
      <c r="I37" t="str">
        <f t="shared" si="1"/>
        <v>35</v>
      </c>
    </row>
    <row r="38" spans="1:9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 s="5">
        <v>223.43</v>
      </c>
      <c r="G38">
        <v>154</v>
      </c>
      <c r="H38">
        <f t="shared" si="0"/>
        <v>34408.22</v>
      </c>
      <c r="I38" t="str">
        <f t="shared" si="1"/>
        <v>36</v>
      </c>
    </row>
    <row r="39" spans="1:9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 s="5">
        <v>353.47</v>
      </c>
      <c r="G39">
        <v>214</v>
      </c>
      <c r="H39">
        <f t="shared" si="0"/>
        <v>75642.58</v>
      </c>
      <c r="I39" t="str">
        <f t="shared" si="1"/>
        <v>37</v>
      </c>
    </row>
    <row r="40" spans="1:9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 s="5">
        <v>135.61000000000001</v>
      </c>
      <c r="G40">
        <v>394</v>
      </c>
      <c r="H40">
        <f t="shared" si="0"/>
        <v>53430.340000000004</v>
      </c>
      <c r="I40" t="str">
        <f t="shared" si="1"/>
        <v>38</v>
      </c>
    </row>
    <row r="41" spans="1:9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 s="5">
        <v>326.06</v>
      </c>
      <c r="G41">
        <v>301</v>
      </c>
      <c r="H41">
        <f t="shared" si="0"/>
        <v>98144.06</v>
      </c>
      <c r="I41" t="str">
        <f t="shared" si="1"/>
        <v>39</v>
      </c>
    </row>
    <row r="42" spans="1:9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 s="5">
        <v>38.520000000000003</v>
      </c>
      <c r="G42">
        <v>378</v>
      </c>
      <c r="H42">
        <f t="shared" si="0"/>
        <v>14560.560000000001</v>
      </c>
      <c r="I42" t="str">
        <f t="shared" si="1"/>
        <v>40</v>
      </c>
    </row>
    <row r="43" spans="1:9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 s="5">
        <v>313.26</v>
      </c>
      <c r="G43">
        <v>369</v>
      </c>
      <c r="H43">
        <f t="shared" si="0"/>
        <v>115592.94</v>
      </c>
      <c r="I43" t="str">
        <f t="shared" si="1"/>
        <v>41</v>
      </c>
    </row>
    <row r="44" spans="1:9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 s="5">
        <v>450.71</v>
      </c>
      <c r="G44">
        <v>389</v>
      </c>
      <c r="H44">
        <f t="shared" si="0"/>
        <v>175326.19</v>
      </c>
      <c r="I44" t="str">
        <f t="shared" si="1"/>
        <v>42</v>
      </c>
    </row>
    <row r="45" spans="1:9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 s="5">
        <v>253.33</v>
      </c>
      <c r="G45">
        <v>266</v>
      </c>
      <c r="H45">
        <f t="shared" si="0"/>
        <v>67385.78</v>
      </c>
      <c r="I45" t="str">
        <f t="shared" si="1"/>
        <v>43</v>
      </c>
    </row>
    <row r="46" spans="1:9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 s="5">
        <v>167.12</v>
      </c>
      <c r="G46">
        <v>316</v>
      </c>
      <c r="H46">
        <f t="shared" si="0"/>
        <v>52809.919999999998</v>
      </c>
      <c r="I46" t="str">
        <f t="shared" si="1"/>
        <v>44</v>
      </c>
    </row>
    <row r="47" spans="1:9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 s="5">
        <v>318.91000000000003</v>
      </c>
      <c r="G47">
        <v>114</v>
      </c>
      <c r="H47">
        <f t="shared" si="0"/>
        <v>36355.740000000005</v>
      </c>
      <c r="I47" t="str">
        <f t="shared" si="1"/>
        <v>45</v>
      </c>
    </row>
    <row r="48" spans="1:9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 s="5">
        <v>167.34</v>
      </c>
      <c r="G48">
        <v>296</v>
      </c>
      <c r="H48">
        <f t="shared" si="0"/>
        <v>49532.639999999999</v>
      </c>
      <c r="I48" t="str">
        <f t="shared" si="1"/>
        <v>46</v>
      </c>
    </row>
    <row r="49" spans="1:9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  <c r="H49">
        <f t="shared" si="0"/>
        <v>0</v>
      </c>
      <c r="I49" t="str">
        <f t="shared" si="1"/>
        <v>47</v>
      </c>
    </row>
    <row r="50" spans="1:9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 s="5">
        <v>177.98</v>
      </c>
      <c r="G50">
        <v>103</v>
      </c>
      <c r="H50">
        <f t="shared" si="0"/>
        <v>18331.939999999999</v>
      </c>
      <c r="I50" t="str">
        <f t="shared" si="1"/>
        <v>48</v>
      </c>
    </row>
    <row r="51" spans="1:9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 s="5">
        <v>43.29</v>
      </c>
      <c r="G51">
        <v>267</v>
      </c>
      <c r="H51">
        <f t="shared" si="0"/>
        <v>11558.43</v>
      </c>
      <c r="I51" t="str">
        <f t="shared" si="1"/>
        <v>49</v>
      </c>
    </row>
    <row r="52" spans="1:9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 s="5">
        <v>190.29</v>
      </c>
      <c r="G52">
        <v>260</v>
      </c>
      <c r="H52">
        <f t="shared" si="0"/>
        <v>49475.4</v>
      </c>
      <c r="I52" t="str">
        <f t="shared" si="1"/>
        <v>50</v>
      </c>
    </row>
    <row r="53" spans="1:9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 s="5">
        <v>88.49</v>
      </c>
      <c r="G53">
        <v>246</v>
      </c>
      <c r="H53">
        <f t="shared" si="0"/>
        <v>21768.539999999997</v>
      </c>
      <c r="I53" t="str">
        <f t="shared" si="1"/>
        <v>51</v>
      </c>
    </row>
    <row r="54" spans="1:9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 s="5">
        <v>212.26</v>
      </c>
      <c r="G54">
        <v>82</v>
      </c>
      <c r="H54">
        <f t="shared" si="0"/>
        <v>17405.32</v>
      </c>
      <c r="I54" t="str">
        <f t="shared" si="1"/>
        <v>52</v>
      </c>
    </row>
    <row r="55" spans="1:9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 s="5">
        <v>386.56</v>
      </c>
      <c r="G55">
        <v>125</v>
      </c>
      <c r="H55">
        <f t="shared" si="0"/>
        <v>48320</v>
      </c>
      <c r="I55" t="str">
        <f t="shared" si="1"/>
        <v>53</v>
      </c>
    </row>
    <row r="56" spans="1:9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 s="5">
        <v>434.84</v>
      </c>
      <c r="G56">
        <v>185</v>
      </c>
      <c r="H56">
        <f t="shared" si="0"/>
        <v>80445.399999999994</v>
      </c>
      <c r="I56" t="str">
        <f t="shared" si="1"/>
        <v>54</v>
      </c>
    </row>
    <row r="57" spans="1:9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 s="5">
        <v>81.75</v>
      </c>
      <c r="H57">
        <f t="shared" si="0"/>
        <v>0</v>
      </c>
      <c r="I57" t="str">
        <f t="shared" si="1"/>
        <v>55</v>
      </c>
    </row>
    <row r="58" spans="1:9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 s="5">
        <v>461.47</v>
      </c>
      <c r="G58">
        <v>190</v>
      </c>
      <c r="H58">
        <f t="shared" si="0"/>
        <v>87679.3</v>
      </c>
      <c r="I58" t="str">
        <f t="shared" si="1"/>
        <v>56</v>
      </c>
    </row>
    <row r="59" spans="1:9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 s="5">
        <v>30.62</v>
      </c>
      <c r="G59">
        <v>138</v>
      </c>
      <c r="H59">
        <f t="shared" si="0"/>
        <v>4225.5600000000004</v>
      </c>
      <c r="I59" t="str">
        <f t="shared" si="1"/>
        <v>57</v>
      </c>
    </row>
    <row r="60" spans="1:9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 s="5">
        <v>113.83</v>
      </c>
      <c r="G60">
        <v>485</v>
      </c>
      <c r="H60">
        <f t="shared" si="0"/>
        <v>55207.549999999996</v>
      </c>
      <c r="I60" t="str">
        <f t="shared" si="1"/>
        <v>58</v>
      </c>
    </row>
    <row r="61" spans="1:9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 s="5">
        <v>17.309999999999999</v>
      </c>
      <c r="G61">
        <v>399</v>
      </c>
      <c r="H61">
        <f t="shared" si="0"/>
        <v>6906.69</v>
      </c>
      <c r="I61" t="str">
        <f t="shared" si="1"/>
        <v>59</v>
      </c>
    </row>
    <row r="62" spans="1:9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 s="5">
        <v>482.75</v>
      </c>
      <c r="G62">
        <v>444</v>
      </c>
      <c r="H62">
        <f t="shared" si="0"/>
        <v>214341</v>
      </c>
      <c r="I62" t="str">
        <f t="shared" si="1"/>
        <v>60</v>
      </c>
    </row>
    <row r="63" spans="1:9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 s="5">
        <v>103.45</v>
      </c>
      <c r="G63">
        <v>465</v>
      </c>
      <c r="H63">
        <f t="shared" si="0"/>
        <v>48104.25</v>
      </c>
      <c r="I63" t="str">
        <f t="shared" si="1"/>
        <v>61</v>
      </c>
    </row>
    <row r="64" spans="1:9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 s="5">
        <v>86.42</v>
      </c>
      <c r="G64">
        <v>222</v>
      </c>
      <c r="H64">
        <f t="shared" si="0"/>
        <v>19185.240000000002</v>
      </c>
      <c r="I64" t="str">
        <f t="shared" si="1"/>
        <v>62</v>
      </c>
    </row>
    <row r="65" spans="1:9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 s="5">
        <v>266.86</v>
      </c>
      <c r="G65">
        <v>458</v>
      </c>
      <c r="H65">
        <f t="shared" si="0"/>
        <v>122221.88</v>
      </c>
      <c r="I65" t="str">
        <f t="shared" si="1"/>
        <v>63</v>
      </c>
    </row>
    <row r="66" spans="1:9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 s="5">
        <v>299.11</v>
      </c>
      <c r="G66">
        <v>118</v>
      </c>
      <c r="H66">
        <f t="shared" si="0"/>
        <v>35294.980000000003</v>
      </c>
      <c r="I66" t="str">
        <f t="shared" si="1"/>
        <v>64</v>
      </c>
    </row>
    <row r="67" spans="1:9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 s="5">
        <v>240.63</v>
      </c>
      <c r="G67">
        <v>423</v>
      </c>
      <c r="H67">
        <f t="shared" ref="H67:H101" si="2">F67*G67</f>
        <v>101786.49</v>
      </c>
      <c r="I67" t="str">
        <f t="shared" ref="I67:I101" si="3">RIGHT(A67,2)</f>
        <v>65</v>
      </c>
    </row>
    <row r="68" spans="1:9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 s="5">
        <v>340.39</v>
      </c>
      <c r="G68">
        <v>177</v>
      </c>
      <c r="H68">
        <f t="shared" si="2"/>
        <v>60249.03</v>
      </c>
      <c r="I68" t="str">
        <f t="shared" si="3"/>
        <v>66</v>
      </c>
    </row>
    <row r="69" spans="1:9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 s="5">
        <v>349.17</v>
      </c>
      <c r="G69">
        <v>476</v>
      </c>
      <c r="H69">
        <f t="shared" si="2"/>
        <v>166204.92000000001</v>
      </c>
      <c r="I69" t="str">
        <f t="shared" si="3"/>
        <v>67</v>
      </c>
    </row>
    <row r="70" spans="1:9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 s="5">
        <v>243.7</v>
      </c>
      <c r="G70">
        <v>130</v>
      </c>
      <c r="H70">
        <f t="shared" si="2"/>
        <v>31681</v>
      </c>
      <c r="I70" t="str">
        <f t="shared" si="3"/>
        <v>68</v>
      </c>
    </row>
    <row r="71" spans="1:9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 s="5">
        <v>218.22</v>
      </c>
      <c r="G71">
        <v>224</v>
      </c>
      <c r="H71">
        <f t="shared" si="2"/>
        <v>48881.279999999999</v>
      </c>
      <c r="I71" t="str">
        <f t="shared" si="3"/>
        <v>69</v>
      </c>
    </row>
    <row r="72" spans="1:9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 s="5">
        <v>138.05000000000001</v>
      </c>
      <c r="G72">
        <v>89</v>
      </c>
      <c r="H72">
        <f t="shared" si="2"/>
        <v>12286.45</v>
      </c>
      <c r="I72" t="str">
        <f t="shared" si="3"/>
        <v>70</v>
      </c>
    </row>
    <row r="73" spans="1:9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 s="5">
        <v>214.32</v>
      </c>
      <c r="G73">
        <v>383</v>
      </c>
      <c r="H73">
        <f t="shared" si="2"/>
        <v>82084.56</v>
      </c>
      <c r="I73" t="str">
        <f t="shared" si="3"/>
        <v>71</v>
      </c>
    </row>
    <row r="74" spans="1:9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 s="5">
        <v>477.61</v>
      </c>
      <c r="G74">
        <v>300</v>
      </c>
      <c r="H74">
        <f t="shared" si="2"/>
        <v>143283</v>
      </c>
      <c r="I74" t="str">
        <f t="shared" si="3"/>
        <v>72</v>
      </c>
    </row>
    <row r="75" spans="1:9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 s="5">
        <v>107.06</v>
      </c>
      <c r="G75">
        <v>359</v>
      </c>
      <c r="H75">
        <f t="shared" si="2"/>
        <v>38434.54</v>
      </c>
      <c r="I75" t="str">
        <f t="shared" si="3"/>
        <v>73</v>
      </c>
    </row>
    <row r="76" spans="1:9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 s="5">
        <v>403.71</v>
      </c>
      <c r="G76">
        <v>159</v>
      </c>
      <c r="H76">
        <f t="shared" si="2"/>
        <v>64189.89</v>
      </c>
      <c r="I76" t="str">
        <f t="shared" si="3"/>
        <v>74</v>
      </c>
    </row>
    <row r="77" spans="1:9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 s="5">
        <v>158.13999999999999</v>
      </c>
      <c r="G77">
        <v>82</v>
      </c>
      <c r="H77">
        <f t="shared" si="2"/>
        <v>12967.48</v>
      </c>
      <c r="I77" t="str">
        <f t="shared" si="3"/>
        <v>75</v>
      </c>
    </row>
    <row r="78" spans="1:9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 s="5">
        <v>392.89</v>
      </c>
      <c r="G78">
        <v>320</v>
      </c>
      <c r="H78">
        <f t="shared" si="2"/>
        <v>125724.79999999999</v>
      </c>
      <c r="I78" t="str">
        <f t="shared" si="3"/>
        <v>76</v>
      </c>
    </row>
    <row r="79" spans="1:9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 s="5">
        <v>480.9</v>
      </c>
      <c r="G79">
        <v>104</v>
      </c>
      <c r="H79">
        <f t="shared" si="2"/>
        <v>50013.599999999999</v>
      </c>
      <c r="I79" t="str">
        <f t="shared" si="3"/>
        <v>77</v>
      </c>
    </row>
    <row r="80" spans="1:9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 s="5">
        <v>325.26</v>
      </c>
      <c r="G80">
        <v>400</v>
      </c>
      <c r="H80">
        <f t="shared" si="2"/>
        <v>130104</v>
      </c>
      <c r="I80" t="str">
        <f t="shared" si="3"/>
        <v>78</v>
      </c>
    </row>
    <row r="81" spans="1:9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 s="5">
        <v>228.53</v>
      </c>
      <c r="G81">
        <v>469</v>
      </c>
      <c r="H81">
        <f t="shared" si="2"/>
        <v>107180.57</v>
      </c>
      <c r="I81" t="str">
        <f t="shared" si="3"/>
        <v>79</v>
      </c>
    </row>
    <row r="82" spans="1:9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 s="5">
        <v>143.43</v>
      </c>
      <c r="G82">
        <v>58</v>
      </c>
      <c r="H82">
        <f t="shared" si="2"/>
        <v>8318.94</v>
      </c>
      <c r="I82" t="str">
        <f t="shared" si="3"/>
        <v>80</v>
      </c>
    </row>
    <row r="83" spans="1:9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 s="5">
        <v>285.54000000000002</v>
      </c>
      <c r="G83">
        <v>358</v>
      </c>
      <c r="H83">
        <f t="shared" si="2"/>
        <v>102223.32</v>
      </c>
      <c r="I83" t="str">
        <f t="shared" si="3"/>
        <v>81</v>
      </c>
    </row>
    <row r="84" spans="1:9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 s="5">
        <v>152.91999999999999</v>
      </c>
      <c r="G84">
        <v>281</v>
      </c>
      <c r="H84">
        <f t="shared" si="2"/>
        <v>42970.52</v>
      </c>
      <c r="I84" t="str">
        <f t="shared" si="3"/>
        <v>82</v>
      </c>
    </row>
    <row r="85" spans="1:9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  <c r="H85">
        <f t="shared" si="2"/>
        <v>0</v>
      </c>
      <c r="I85" t="str">
        <f t="shared" si="3"/>
        <v>83</v>
      </c>
    </row>
    <row r="86" spans="1:9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 s="5">
        <v>388.46</v>
      </c>
      <c r="G86">
        <v>208</v>
      </c>
      <c r="H86">
        <f t="shared" si="2"/>
        <v>80799.679999999993</v>
      </c>
      <c r="I86" t="str">
        <f t="shared" si="3"/>
        <v>84</v>
      </c>
    </row>
    <row r="87" spans="1:9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 s="5">
        <v>119.57</v>
      </c>
      <c r="G87">
        <v>210</v>
      </c>
      <c r="H87">
        <f t="shared" si="2"/>
        <v>25109.699999999997</v>
      </c>
      <c r="I87" t="str">
        <f t="shared" si="3"/>
        <v>85</v>
      </c>
    </row>
    <row r="88" spans="1:9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 s="5">
        <v>176.07</v>
      </c>
      <c r="G88">
        <v>82</v>
      </c>
      <c r="H88">
        <f t="shared" si="2"/>
        <v>14437.74</v>
      </c>
      <c r="I88" t="str">
        <f t="shared" si="3"/>
        <v>86</v>
      </c>
    </row>
    <row r="89" spans="1:9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 s="5">
        <v>371.38</v>
      </c>
      <c r="G89">
        <v>220</v>
      </c>
      <c r="H89">
        <f t="shared" si="2"/>
        <v>81703.600000000006</v>
      </c>
      <c r="I89" t="str">
        <f t="shared" si="3"/>
        <v>87</v>
      </c>
    </row>
    <row r="90" spans="1:9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 s="5">
        <v>131.24</v>
      </c>
      <c r="G90">
        <v>232</v>
      </c>
      <c r="H90">
        <f t="shared" si="2"/>
        <v>30447.68</v>
      </c>
      <c r="I90" t="str">
        <f t="shared" si="3"/>
        <v>88</v>
      </c>
    </row>
    <row r="91" spans="1:9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 s="5">
        <v>183.04</v>
      </c>
      <c r="G91">
        <v>457</v>
      </c>
      <c r="H91">
        <f t="shared" si="2"/>
        <v>83649.279999999999</v>
      </c>
      <c r="I91" t="str">
        <f t="shared" si="3"/>
        <v>89</v>
      </c>
    </row>
    <row r="92" spans="1:9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 s="5">
        <v>340.14</v>
      </c>
      <c r="G92">
        <v>361</v>
      </c>
      <c r="H92">
        <f t="shared" si="2"/>
        <v>122790.54</v>
      </c>
      <c r="I92" t="str">
        <f t="shared" si="3"/>
        <v>90</v>
      </c>
    </row>
    <row r="93" spans="1:9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 s="5">
        <v>438.25</v>
      </c>
      <c r="G93">
        <v>496</v>
      </c>
      <c r="H93">
        <f t="shared" si="2"/>
        <v>217372</v>
      </c>
      <c r="I93" t="str">
        <f t="shared" si="3"/>
        <v>91</v>
      </c>
    </row>
    <row r="94" spans="1:9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 s="5">
        <v>447.43</v>
      </c>
      <c r="G94">
        <v>191</v>
      </c>
      <c r="H94">
        <f t="shared" si="2"/>
        <v>85459.13</v>
      </c>
      <c r="I94" t="str">
        <f t="shared" si="3"/>
        <v>92</v>
      </c>
    </row>
    <row r="95" spans="1:9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 s="5">
        <v>377.52</v>
      </c>
      <c r="G95">
        <v>485</v>
      </c>
      <c r="H95">
        <f t="shared" si="2"/>
        <v>183097.19999999998</v>
      </c>
      <c r="I95" t="str">
        <f t="shared" si="3"/>
        <v>93</v>
      </c>
    </row>
    <row r="96" spans="1:9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 s="5">
        <v>358.47</v>
      </c>
      <c r="G96">
        <v>213</v>
      </c>
      <c r="H96">
        <f t="shared" si="2"/>
        <v>76354.11</v>
      </c>
      <c r="I96" t="str">
        <f t="shared" si="3"/>
        <v>94</v>
      </c>
    </row>
    <row r="97" spans="1:9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 s="5">
        <v>60.65</v>
      </c>
      <c r="G97">
        <v>75</v>
      </c>
      <c r="H97">
        <f t="shared" si="2"/>
        <v>4548.75</v>
      </c>
      <c r="I97" t="str">
        <f t="shared" si="3"/>
        <v>95</v>
      </c>
    </row>
    <row r="98" spans="1:9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 s="5">
        <v>358.47</v>
      </c>
      <c r="G98">
        <v>143</v>
      </c>
      <c r="H98">
        <f t="shared" si="2"/>
        <v>51261.210000000006</v>
      </c>
      <c r="I98" t="str">
        <f t="shared" si="3"/>
        <v>96</v>
      </c>
    </row>
    <row r="99" spans="1:9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 s="5">
        <v>245.98</v>
      </c>
      <c r="G99">
        <v>471</v>
      </c>
      <c r="H99">
        <f t="shared" si="2"/>
        <v>115856.58</v>
      </c>
      <c r="I99" t="str">
        <f t="shared" si="3"/>
        <v>97</v>
      </c>
    </row>
    <row r="100" spans="1:9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 s="5">
        <v>431.67</v>
      </c>
      <c r="G100">
        <v>73</v>
      </c>
      <c r="H100">
        <f t="shared" si="2"/>
        <v>31511.91</v>
      </c>
      <c r="I100" t="str">
        <f t="shared" si="3"/>
        <v>98</v>
      </c>
    </row>
    <row r="101" spans="1:9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 s="5">
        <v>201.41</v>
      </c>
      <c r="G101">
        <v>146</v>
      </c>
      <c r="H101">
        <f t="shared" si="2"/>
        <v>29405.86</v>
      </c>
      <c r="I101" t="str">
        <f t="shared" si="3"/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29" sqref="G29"/>
    </sheetView>
  </sheetViews>
  <sheetFormatPr defaultRowHeight="1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4"/>
  <sheetViews>
    <sheetView workbookViewId="0">
      <selection activeCell="N6" sqref="N6"/>
    </sheetView>
  </sheetViews>
  <sheetFormatPr defaultRowHeight="15"/>
  <cols>
    <col min="1" max="1" width="13.140625" customWidth="1"/>
    <col min="2" max="2" width="22" bestFit="1" customWidth="1"/>
  </cols>
  <sheetData>
    <row r="3" spans="1:2">
      <c r="A3" s="15" t="s">
        <v>3985</v>
      </c>
      <c r="B3" t="s">
        <v>3987</v>
      </c>
    </row>
    <row r="4" spans="1:2">
      <c r="A4" s="16" t="s">
        <v>1752</v>
      </c>
      <c r="B4" s="17">
        <v>93</v>
      </c>
    </row>
    <row r="5" spans="1:2">
      <c r="A5" s="16" t="s">
        <v>1757</v>
      </c>
      <c r="B5" s="17">
        <v>94</v>
      </c>
    </row>
    <row r="6" spans="1:2">
      <c r="A6" s="16" t="s">
        <v>1789</v>
      </c>
      <c r="B6" s="17">
        <v>96</v>
      </c>
    </row>
    <row r="7" spans="1:2">
      <c r="A7" s="16" t="s">
        <v>1792</v>
      </c>
      <c r="B7" s="17">
        <v>88</v>
      </c>
    </row>
    <row r="8" spans="1:2">
      <c r="A8" s="16" t="s">
        <v>1794</v>
      </c>
      <c r="B8" s="17">
        <v>100</v>
      </c>
    </row>
    <row r="9" spans="1:2">
      <c r="A9" s="16" t="s">
        <v>1797</v>
      </c>
      <c r="B9" s="17">
        <v>95</v>
      </c>
    </row>
    <row r="10" spans="1:2">
      <c r="A10" s="16" t="s">
        <v>1799</v>
      </c>
      <c r="B10" s="17">
        <v>95</v>
      </c>
    </row>
    <row r="11" spans="1:2">
      <c r="A11" s="16" t="s">
        <v>1801</v>
      </c>
      <c r="B11" s="17">
        <v>95</v>
      </c>
    </row>
    <row r="12" spans="1:2">
      <c r="A12" s="16" t="s">
        <v>1804</v>
      </c>
      <c r="B12" s="17">
        <v>106</v>
      </c>
    </row>
    <row r="13" spans="1:2">
      <c r="A13" s="16" t="s">
        <v>1807</v>
      </c>
      <c r="B13" s="17">
        <v>109</v>
      </c>
    </row>
    <row r="14" spans="1:2">
      <c r="A14" s="16" t="s">
        <v>1810</v>
      </c>
      <c r="B14" s="17">
        <v>105</v>
      </c>
    </row>
    <row r="15" spans="1:2">
      <c r="A15" s="16" t="s">
        <v>1813</v>
      </c>
      <c r="B15" s="17">
        <v>93</v>
      </c>
    </row>
    <row r="16" spans="1:2">
      <c r="A16" s="16" t="s">
        <v>1761</v>
      </c>
      <c r="B16" s="17">
        <v>92</v>
      </c>
    </row>
    <row r="17" spans="1:3">
      <c r="A17" s="16" t="s">
        <v>1766</v>
      </c>
      <c r="B17" s="17">
        <v>114</v>
      </c>
    </row>
    <row r="18" spans="1:3">
      <c r="A18" s="16" t="s">
        <v>1769</v>
      </c>
      <c r="B18" s="17">
        <v>102</v>
      </c>
    </row>
    <row r="19" spans="1:3">
      <c r="A19" s="16" t="s">
        <v>1773</v>
      </c>
      <c r="B19" s="17">
        <v>82</v>
      </c>
    </row>
    <row r="20" spans="1:3">
      <c r="A20" s="16" t="s">
        <v>1776</v>
      </c>
      <c r="B20" s="17">
        <v>106</v>
      </c>
    </row>
    <row r="21" spans="1:3">
      <c r="A21" s="16" t="s">
        <v>1779</v>
      </c>
      <c r="B21" s="17">
        <v>108</v>
      </c>
    </row>
    <row r="22" spans="1:3">
      <c r="A22" s="16" t="s">
        <v>1782</v>
      </c>
      <c r="B22" s="17">
        <v>127</v>
      </c>
    </row>
    <row r="23" spans="1:3">
      <c r="A23" s="16" t="s">
        <v>1786</v>
      </c>
      <c r="B23" s="17">
        <v>96</v>
      </c>
    </row>
    <row r="24" spans="1:3">
      <c r="A24" s="16" t="s">
        <v>3986</v>
      </c>
      <c r="B24" s="17">
        <v>1996</v>
      </c>
    </row>
    <row r="27" spans="1:3">
      <c r="A27" s="6"/>
      <c r="B27" s="7"/>
      <c r="C27" s="8"/>
    </row>
    <row r="28" spans="1:3">
      <c r="A28" s="9"/>
      <c r="B28" s="10"/>
      <c r="C28" s="11"/>
    </row>
    <row r="29" spans="1:3">
      <c r="A29" s="9"/>
      <c r="B29" s="10"/>
      <c r="C29" s="11"/>
    </row>
    <row r="30" spans="1:3">
      <c r="A30" s="9"/>
      <c r="B30" s="10"/>
      <c r="C30" s="11"/>
    </row>
    <row r="31" spans="1:3">
      <c r="A31" s="9"/>
      <c r="B31" s="10"/>
      <c r="C31" s="11"/>
    </row>
    <row r="32" spans="1:3">
      <c r="A32" s="9"/>
      <c r="B32" s="10"/>
      <c r="C32" s="11"/>
    </row>
    <row r="33" spans="1:3">
      <c r="A33" s="9"/>
      <c r="B33" s="10"/>
      <c r="C33" s="11"/>
    </row>
    <row r="34" spans="1:3">
      <c r="A34" s="9"/>
      <c r="B34" s="10"/>
      <c r="C34" s="11"/>
    </row>
    <row r="35" spans="1:3">
      <c r="A35" s="9"/>
      <c r="B35" s="10"/>
      <c r="C35" s="11"/>
    </row>
    <row r="36" spans="1:3">
      <c r="A36" s="9"/>
      <c r="B36" s="10"/>
      <c r="C36" s="11"/>
    </row>
    <row r="37" spans="1:3">
      <c r="A37" s="9"/>
      <c r="B37" s="10"/>
      <c r="C37" s="11"/>
    </row>
    <row r="38" spans="1:3">
      <c r="A38" s="9"/>
      <c r="B38" s="10"/>
      <c r="C38" s="11"/>
    </row>
    <row r="39" spans="1:3">
      <c r="A39" s="9"/>
      <c r="B39" s="10"/>
      <c r="C39" s="11"/>
    </row>
    <row r="40" spans="1:3">
      <c r="A40" s="9"/>
      <c r="B40" s="10"/>
      <c r="C40" s="11"/>
    </row>
    <row r="41" spans="1:3">
      <c r="A41" s="9"/>
      <c r="B41" s="10"/>
      <c r="C41" s="11"/>
    </row>
    <row r="42" spans="1:3">
      <c r="A42" s="9"/>
      <c r="B42" s="10"/>
      <c r="C42" s="11"/>
    </row>
    <row r="43" spans="1:3">
      <c r="A43" s="9"/>
      <c r="B43" s="10"/>
      <c r="C43" s="11"/>
    </row>
    <row r="44" spans="1:3">
      <c r="A44" s="12"/>
      <c r="B44" s="13"/>
      <c r="C44" s="14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selection activeCell="D3" sqref="D3"/>
    </sheetView>
  </sheetViews>
  <sheetFormatPr defaultRowHeight="15"/>
  <cols>
    <col min="2" max="2" width="16.42578125" customWidth="1"/>
  </cols>
  <sheetData>
    <row r="1" spans="1:10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30" sqref="B30"/>
    </sheetView>
  </sheetViews>
  <sheetFormatPr defaultRowHeight="15"/>
  <cols>
    <col min="1" max="1" width="11.42578125" customWidth="1"/>
    <col min="2" max="2" width="15.42578125" customWidth="1"/>
  </cols>
  <sheetData>
    <row r="1" spans="1:2">
      <c r="A1" t="s">
        <v>3969</v>
      </c>
      <c r="B1">
        <f>SUM(Sales_Fact!H2:H10)</f>
        <v>1.5899999999999999</v>
      </c>
    </row>
    <row r="2" spans="1:2">
      <c r="A2" t="s">
        <v>3970</v>
      </c>
      <c r="B2">
        <f>AVERAGE(Sales_Fact!F2:F101)</f>
        <v>2.4315789473684211</v>
      </c>
    </row>
    <row r="3" spans="1:2">
      <c r="A3" t="s">
        <v>3971</v>
      </c>
      <c r="B3" t="str">
        <f>IF(Sales_Fact!F2&gt;500,"expensive","cheap")</f>
        <v>cheap</v>
      </c>
    </row>
    <row r="4" spans="1:2">
      <c r="A4" t="s">
        <v>3972</v>
      </c>
      <c r="B4">
        <f>COUNTIF(Sales_Fact!C2:C101,"electronics")</f>
        <v>0</v>
      </c>
    </row>
    <row r="5" spans="1:2">
      <c r="A5" t="s">
        <v>3973</v>
      </c>
      <c r="B5" t="str">
        <f>TEXT(Sales_Fact!F2,"0.00")</f>
        <v>1.00</v>
      </c>
    </row>
    <row r="6" spans="1:2">
      <c r="A6" t="s">
        <v>3974</v>
      </c>
      <c r="B6" t="str">
        <f ca="1">IFERROR(xlookup(Sales_Fact!A2,Product_Dim!a:'[1]aproduct_dim'!B:B),"not found")</f>
        <v>not found</v>
      </c>
    </row>
    <row r="7" spans="1:2">
      <c r="A7" t="s">
        <v>3975</v>
      </c>
      <c r="B7" t="str">
        <f>IFERROR(VLOOKUP(Sales_Fact!A2,Product_Dim!A:B,2,FALSE),"not found")</f>
        <v>not found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RowHeight="15"/>
  <cols>
    <col min="1" max="1" width="17.28515625" customWidth="1"/>
    <col min="2" max="2" width="15.28515625" customWidth="1"/>
  </cols>
  <sheetData>
    <row r="1" spans="1:2">
      <c r="A1" t="s">
        <v>3976</v>
      </c>
      <c r="B1" t="s">
        <v>3977</v>
      </c>
    </row>
    <row r="2" spans="1:2">
      <c r="A2" t="s">
        <v>3978</v>
      </c>
      <c r="B2">
        <f>AVERAGE(Sales_Fact!F:F)</f>
        <v>2.4802005012531327</v>
      </c>
    </row>
    <row r="3" spans="1:2">
      <c r="A3" t="s">
        <v>3979</v>
      </c>
      <c r="B3">
        <f>MEDIAN(Sales_Fact!F:F)</f>
        <v>2</v>
      </c>
    </row>
    <row r="4" spans="1:2">
      <c r="A4" t="s">
        <v>3980</v>
      </c>
      <c r="B4">
        <f>_xlfn.MODE.SNGL(Sales_Fact!F:F)</f>
        <v>2</v>
      </c>
    </row>
    <row r="5" spans="1:2">
      <c r="A5" t="s">
        <v>3981</v>
      </c>
      <c r="B5">
        <f>_xlfn.STDEV.S(Sales_Fact!F:F)</f>
        <v>1.1120674628932488</v>
      </c>
    </row>
    <row r="6" spans="1:2">
      <c r="A6" t="s">
        <v>3982</v>
      </c>
      <c r="B6">
        <f>MAX(Sales_Fact!F:F)</f>
        <v>4</v>
      </c>
    </row>
    <row r="7" spans="1:2">
      <c r="A7" t="s">
        <v>3983</v>
      </c>
      <c r="B7">
        <f>MIN(Sales_Fact!F:F)</f>
        <v>1</v>
      </c>
    </row>
    <row r="8" spans="1:2">
      <c r="A8" t="s">
        <v>3984</v>
      </c>
      <c r="B8">
        <f>COUNT(Sales_Fact!F:F)</f>
        <v>1995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tabSelected="1" workbookViewId="0">
      <selection activeCell="B28" sqref="B28"/>
    </sheetView>
  </sheetViews>
  <sheetFormatPr defaultRowHeight="15"/>
  <cols>
    <col min="1" max="1" width="29.140625" customWidth="1"/>
    <col min="2" max="2" width="22.5703125" customWidth="1"/>
  </cols>
  <sheetData>
    <row r="2" spans="1:2">
      <c r="A2" t="s">
        <v>3988</v>
      </c>
    </row>
    <row r="3" spans="1:2">
      <c r="A3" t="s">
        <v>3989</v>
      </c>
      <c r="B3">
        <f>SUM(Sales_Fact!J2:J101)</f>
        <v>98214.452200000014</v>
      </c>
    </row>
    <row r="4" spans="1:2">
      <c r="A4" t="s">
        <v>3990</v>
      </c>
      <c r="B4" t="s">
        <v>3992</v>
      </c>
    </row>
    <row r="5" spans="1:2">
      <c r="A5" t="s">
        <v>3991</v>
      </c>
      <c r="B5">
        <f>COUNTA(sales_fact1a2:A101)</f>
        <v>1</v>
      </c>
    </row>
    <row r="19" spans="2:2">
      <c r="B19" t="s">
        <v>3993</v>
      </c>
    </row>
    <row r="21" spans="2:2">
      <c r="B21" t="s">
        <v>3994</v>
      </c>
    </row>
    <row r="22" spans="2:2">
      <c r="B22" t="s">
        <v>3995</v>
      </c>
    </row>
    <row r="23" spans="2:2">
      <c r="B23" t="s">
        <v>3996</v>
      </c>
    </row>
    <row r="24" spans="2:2">
      <c r="B24" t="s">
        <v>3997</v>
      </c>
    </row>
    <row r="25" spans="2:2">
      <c r="B25" t="s">
        <v>3998</v>
      </c>
    </row>
    <row r="26" spans="2:2">
      <c r="B26" t="s">
        <v>3999</v>
      </c>
    </row>
    <row r="28" spans="2:2">
      <c r="B28" t="s">
        <v>4000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Customer_Dim</vt:lpstr>
      <vt:lpstr>Product_Dim</vt:lpstr>
      <vt:lpstr>Store_Dim</vt:lpstr>
      <vt:lpstr>Sheet2</vt:lpstr>
      <vt:lpstr>Sales_Fact</vt:lpstr>
      <vt:lpstr>look up sheet</vt:lpstr>
      <vt:lpstr>discriptive statics</vt:lpstr>
      <vt:lpstr>dash 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SHANOJ</cp:lastModifiedBy>
  <dcterms:created xsi:type="dcterms:W3CDTF">2025-10-14T06:00:18Z</dcterms:created>
  <dcterms:modified xsi:type="dcterms:W3CDTF">2026-09-05T16:42:36Z</dcterms:modified>
</cp:coreProperties>
</file>